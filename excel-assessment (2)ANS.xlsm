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504" windowWidth="29400" windowHeight="16296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N41" i="15"/>
  <c r="M41" i="15"/>
</calcChain>
</file>

<file path=xl/sharedStrings.xml><?xml version="1.0" encoding="utf-8"?>
<sst xmlns="http://schemas.openxmlformats.org/spreadsheetml/2006/main" count="688" uniqueCount="183">
  <si>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</si>
  <si>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</si>
  <si>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</si>
  <si>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</si>
  <si>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</si>
  <si>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</si>
  <si>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</si>
  <si>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</si>
  <si>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</si>
  <si>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</si>
  <si>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</si>
  <si>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</si>
  <si>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</si>
  <si>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</si>
  <si>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</si>
  <si>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</si>
  <si>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</si>
  <si>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</si>
  <si>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</si>
  <si>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</si>
  <si>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</si>
  <si>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</si>
  <si>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</si>
  <si>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</si>
  <si>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</si>
  <si>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</si>
  <si>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</si>
  <si>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</si>
  <si>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</si>
  <si>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</si>
  <si>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</si>
  <si>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</si>
  <si>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</si>
  <si>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</si>
  <si>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</si>
  <si>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</si>
  <si>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</si>
  <si>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</si>
  <si>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</si>
  <si>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</si>
  <si>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</si>
  <si>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</si>
  <si>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</si>
  <si>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</si>
  <si>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</si>
  <si>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</si>
  <si>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</si>
  <si>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</si>
  <si>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</si>
  <si>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</si>
  <si>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</si>
  <si>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</si>
  <si>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</si>
  <si>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</si>
  <si>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</si>
  <si>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</si>
  <si>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</si>
  <si>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</si>
  <si>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</si>
  <si>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</si>
  <si>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</si>
  <si>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</si>
  <si>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</si>
  <si>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</si>
  <si>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</si>
  <si>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</si>
  <si>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</si>
  <si>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</si>
  <si>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</si>
  <si>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</si>
  <si>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</si>
  <si>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</si>
  <si>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</si>
  <si>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</si>
  <si>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</si>
  <si>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</si>
  <si>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</si>
  <si>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</si>
  <si>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</si>
  <si>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</si>
  <si>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</si>
  <si>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</si>
  <si>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</si>
  <si>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</si>
  <si>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</si>
  <si>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</si>
  <si>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</si>
  <si>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</si>
  <si>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</si>
  <si>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</si>
  <si>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</si>
  <si>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</si>
  <si>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</si>
  <si>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</si>
  <si>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</si>
  <si>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</si>
  <si>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</si>
  <si>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</si>
  <si>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</si>
  <si>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</si>
  <si>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</si>
  <si>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</si>
  <si>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</si>
  <si>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</si>
  <si>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</si>
  <si>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</si>
  <si>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</si>
  <si>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</si>
  <si>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</si>
  <si>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</si>
  <si>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</si>
  <si>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</si>
  <si>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</si>
  <si>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</si>
  <si>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</si>
  <si>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</si>
  <si>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</si>
  <si>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</si>
  <si>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</si>
  <si>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</si>
  <si>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</si>
  <si>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</si>
  <si>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</si>
  <si>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</si>
  <si>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</si>
  <si>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</si>
  <si>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</si>
  <si>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</si>
  <si>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</si>
  <si>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</si>
  <si>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</si>
  <si>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</si>
  <si>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</si>
  <si>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</si>
  <si>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</si>
  <si>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</si>
  <si>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</si>
  <si>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</si>
  <si>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</si>
  <si>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</si>
  <si>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</si>
  <si>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</si>
  <si>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</si>
  <si>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</si>
  <si>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</si>
  <si>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</si>
  <si>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</si>
  <si>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</si>
  <si>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</si>
  <si>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</si>
  <si>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</si>
  <si>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</si>
  <si>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</si>
  <si>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</si>
  <si>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</si>
  <si>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</si>
  <si>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</si>
  <si>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</si>
  <si>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</si>
  <si>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</si>
  <si>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</si>
  <si>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</si>
  <si>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</si>
  <si>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</si>
  <si>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</si>
  <si>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</si>
  <si>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</si>
  <si>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</si>
  <si>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</si>
  <si>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</si>
  <si>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</si>
  <si>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</si>
  <si>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</si>
  <si>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</si>
  <si>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</si>
  <si>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</si>
  <si>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</si>
  <si>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</si>
  <si>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(=sumif(range),criteria)</t>
  </si>
  <si>
    <t>This formula uses two Excel functions, iferror and sum, in combination with an array operation to calculate the sum of values in a range while handling errors, such as #N/A.</t>
  </si>
  <si>
    <t>SUM(IFERROR(C12:C21,20))</t>
  </si>
  <si>
    <t>With the help of text to columns.</t>
  </si>
  <si>
    <t>Based on delimeter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</si>
</sst>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7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37415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5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zoomScale="55" zoomScaleNormal="100" workbookViewId="0">
      <selection sqref="A1:X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</row>
  </sheetData>
  <conditionalFormatting sqref="A1:A1048576">
    <cfRule type="duplicateValues" dxfId="9" priority="2"/>
  </conditionalFormatting>
  <conditionalFormatting sqref="B1:B1048576">
    <cfRule type="duplicateValues" dxfId="8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topLeftCell="D1" zoomScale="48" zoomScaleNormal="100" workbookViewId="0">
      <pane ySplit="1" topLeftCell="A2" activePane="bottomLeft" state="frozen"/>
      <selection pane="bottomLeft" activeCell="N41" sqref="N41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30" x14ac:dyDescent="0.3">
      <c r="A1" s="4" t="s">
        <v>47</v>
      </c>
      <c r="B1" s="4" t="s">
        <v>48</v>
      </c>
      <c r="C1" s="4" t="s">
        <v>44</v>
      </c>
      <c r="E1" s="4" t="s">
        <v>177</v>
      </c>
      <c r="G1" s="27" t="s">
        <v>64</v>
      </c>
      <c r="H1" s="27" t="s">
        <v>43</v>
      </c>
      <c r="I1" s="27" t="s">
        <v>0</v>
      </c>
      <c r="J1" s="28" t="s">
        <v>1</v>
      </c>
      <c r="K1" s="27" t="s">
        <v>2</v>
      </c>
      <c r="L1" s="28" t="s">
        <v>3</v>
      </c>
      <c r="M1" s="29" t="s">
        <v>79</v>
      </c>
      <c r="N1" s="29" t="s">
        <v>65</v>
      </c>
      <c r="O1" s="29" t="s">
        <v>66</v>
      </c>
      <c r="P1" s="30" t="s">
        <v>67</v>
      </c>
      <c r="Q1" s="30" t="s">
        <v>68</v>
      </c>
      <c r="R1" s="30" t="s">
        <v>69</v>
      </c>
      <c r="S1" s="29" t="s">
        <v>70</v>
      </c>
      <c r="T1" s="29" t="s">
        <v>71</v>
      </c>
      <c r="U1" s="29" t="s">
        <v>72</v>
      </c>
      <c r="V1" s="30" t="s">
        <v>73</v>
      </c>
      <c r="W1" s="30" t="s">
        <v>74</v>
      </c>
      <c r="X1" s="30" t="s">
        <v>75</v>
      </c>
      <c r="Y1" s="29" t="s">
        <v>80</v>
      </c>
      <c r="Z1" s="29" t="s">
        <v>76</v>
      </c>
      <c r="AA1" s="30" t="s">
        <v>81</v>
      </c>
      <c r="AB1" s="30" t="s">
        <v>77</v>
      </c>
      <c r="AC1" s="30" t="s">
        <v>78</v>
      </c>
      <c r="AD1" s="3" t="s">
        <v>106</v>
      </c>
    </row>
    <row r="2" spans="1:30" x14ac:dyDescent="0.3">
      <c r="A2" s="2"/>
      <c r="B2" s="5" t="s">
        <v>161</v>
      </c>
      <c r="C2" s="2"/>
      <c r="G2" s="1" t="s">
        <v>40</v>
      </c>
      <c r="H2" s="1">
        <v>20000</v>
      </c>
      <c r="I2" s="1" t="s">
        <v>5</v>
      </c>
      <c r="J2" s="23">
        <v>0</v>
      </c>
      <c r="K2" s="1" t="s">
        <v>6</v>
      </c>
      <c r="L2" s="23">
        <v>0.99998842592592596</v>
      </c>
      <c r="M2" s="1">
        <v>2.7</v>
      </c>
      <c r="N2" s="1">
        <v>3.6</v>
      </c>
      <c r="O2" s="1">
        <v>4.2</v>
      </c>
      <c r="P2" s="1">
        <v>-1</v>
      </c>
      <c r="Q2" s="1">
        <v>-1</v>
      </c>
      <c r="R2" s="1">
        <v>-1</v>
      </c>
      <c r="S2" s="1">
        <v>5.3</v>
      </c>
      <c r="T2" s="1">
        <v>7.6</v>
      </c>
      <c r="U2" s="1">
        <v>8.9</v>
      </c>
      <c r="V2" s="1">
        <v>2.7</v>
      </c>
      <c r="W2" s="1">
        <v>3.6</v>
      </c>
      <c r="X2" s="1">
        <v>4.2</v>
      </c>
      <c r="Y2" s="1">
        <v>7.6</v>
      </c>
      <c r="Z2" s="1">
        <v>8.9</v>
      </c>
      <c r="AA2" s="1">
        <v>3.6</v>
      </c>
      <c r="AB2" s="1">
        <v>4.2</v>
      </c>
      <c r="AC2" s="1">
        <v>4.2</v>
      </c>
      <c r="AD2" s="45">
        <v>45051</v>
      </c>
    </row>
    <row r="3" spans="1:30" x14ac:dyDescent="0.3">
      <c r="A3" s="6">
        <v>1</v>
      </c>
      <c r="B3" s="2" t="s">
        <v>108</v>
      </c>
      <c r="C3" s="2" t="s">
        <v>45</v>
      </c>
      <c r="E3" s="1">
        <v>5</v>
      </c>
      <c r="G3" s="1" t="s">
        <v>4</v>
      </c>
      <c r="H3" s="1">
        <v>20002</v>
      </c>
      <c r="I3" s="1" t="s">
        <v>5</v>
      </c>
      <c r="J3" s="23">
        <v>0</v>
      </c>
      <c r="K3" s="1" t="s">
        <v>6</v>
      </c>
      <c r="L3" s="23">
        <v>0.99998842592592596</v>
      </c>
      <c r="M3" s="1">
        <v>2.7</v>
      </c>
      <c r="N3" s="1">
        <v>3.6</v>
      </c>
      <c r="O3" s="1">
        <v>4.2</v>
      </c>
      <c r="P3" s="1">
        <v>-1</v>
      </c>
      <c r="Q3" s="1">
        <v>-1</v>
      </c>
      <c r="R3" s="1">
        <v>-1</v>
      </c>
      <c r="S3" s="1">
        <v>5.3</v>
      </c>
      <c r="T3" s="1">
        <v>7.6</v>
      </c>
      <c r="U3" s="1">
        <v>8.9</v>
      </c>
      <c r="V3" s="1">
        <v>2.7</v>
      </c>
      <c r="W3" s="1">
        <v>3.6</v>
      </c>
      <c r="X3" s="1">
        <v>4.2</v>
      </c>
      <c r="Y3" s="1">
        <v>7.6</v>
      </c>
      <c r="Z3" s="1">
        <v>8.9</v>
      </c>
      <c r="AA3" s="1">
        <v>3.6</v>
      </c>
      <c r="AB3" s="1">
        <v>4.2</v>
      </c>
      <c r="AC3" s="1">
        <v>4.2</v>
      </c>
      <c r="AD3" s="45">
        <v>45048</v>
      </c>
    </row>
    <row r="4" spans="1:30" x14ac:dyDescent="0.3">
      <c r="A4" s="6">
        <v>2</v>
      </c>
      <c r="B4" s="2" t="s">
        <v>46</v>
      </c>
      <c r="C4" s="2"/>
      <c r="E4" s="1">
        <v>5</v>
      </c>
      <c r="G4" s="1" t="s">
        <v>7</v>
      </c>
      <c r="H4" s="1">
        <v>20004</v>
      </c>
      <c r="I4" s="1" t="s">
        <v>5</v>
      </c>
      <c r="J4" s="23">
        <v>0</v>
      </c>
      <c r="K4" s="1" t="s">
        <v>6</v>
      </c>
      <c r="L4" s="23">
        <v>0.99998842592592596</v>
      </c>
      <c r="M4" s="1">
        <v>3.6</v>
      </c>
      <c r="N4" s="1">
        <v>5.4</v>
      </c>
      <c r="O4" s="1">
        <v>5.8</v>
      </c>
      <c r="P4" s="1">
        <v>-1</v>
      </c>
      <c r="Q4" s="1">
        <v>-1</v>
      </c>
      <c r="R4" s="1">
        <v>-1</v>
      </c>
      <c r="S4" s="1">
        <v>7.6</v>
      </c>
      <c r="T4" s="1">
        <v>11.1</v>
      </c>
      <c r="U4" s="1">
        <v>12.2</v>
      </c>
      <c r="V4" s="1">
        <v>3.6</v>
      </c>
      <c r="W4" s="1">
        <v>5.4</v>
      </c>
      <c r="X4" s="1">
        <v>5.8</v>
      </c>
      <c r="Y4" s="1">
        <v>11.1</v>
      </c>
      <c r="Z4" s="1">
        <v>12.2</v>
      </c>
      <c r="AA4" s="1">
        <v>5.4</v>
      </c>
      <c r="AB4" s="1">
        <v>5.8</v>
      </c>
      <c r="AC4" s="1">
        <v>5.8</v>
      </c>
      <c r="AD4" s="45">
        <v>45055</v>
      </c>
    </row>
    <row r="5" spans="1:30" x14ac:dyDescent="0.3">
      <c r="A5" s="6">
        <v>3</v>
      </c>
      <c r="B5" s="2" t="s">
        <v>104</v>
      </c>
      <c r="C5" s="34" t="s">
        <v>105</v>
      </c>
      <c r="D5" s="1" t="s">
        <v>178</v>
      </c>
      <c r="E5" s="1">
        <v>10</v>
      </c>
      <c r="G5" s="1" t="s">
        <v>8</v>
      </c>
      <c r="H5" s="1">
        <v>20006</v>
      </c>
      <c r="I5" s="1" t="s">
        <v>5</v>
      </c>
      <c r="J5" s="23">
        <v>0</v>
      </c>
      <c r="K5" s="1" t="s">
        <v>6</v>
      </c>
      <c r="L5" s="23">
        <v>0.99998842592592596</v>
      </c>
      <c r="M5" s="1">
        <v>4.9000000000000004</v>
      </c>
      <c r="N5" s="1">
        <v>6.6</v>
      </c>
      <c r="O5" s="1">
        <v>8.1</v>
      </c>
      <c r="P5" s="1">
        <v>-1</v>
      </c>
      <c r="Q5" s="1">
        <v>-1</v>
      </c>
      <c r="R5" s="1">
        <v>-1</v>
      </c>
      <c r="S5" s="1">
        <v>10</v>
      </c>
      <c r="T5" s="1">
        <v>13.3</v>
      </c>
      <c r="U5" s="1">
        <v>17</v>
      </c>
      <c r="V5" s="1">
        <v>4.9000000000000004</v>
      </c>
      <c r="W5" s="1">
        <v>6.6</v>
      </c>
      <c r="X5" s="1">
        <v>8.1</v>
      </c>
      <c r="Y5" s="1">
        <v>13.3</v>
      </c>
      <c r="Z5" s="1">
        <v>17</v>
      </c>
      <c r="AA5" s="1">
        <v>6.6</v>
      </c>
      <c r="AB5" s="1">
        <v>8.1</v>
      </c>
      <c r="AC5" s="1">
        <v>8.1</v>
      </c>
      <c r="AD5" s="45">
        <v>45059</v>
      </c>
    </row>
    <row r="6" spans="1:30" x14ac:dyDescent="0.3">
      <c r="A6" s="6">
        <v>4</v>
      </c>
      <c r="B6" s="2" t="s">
        <v>107</v>
      </c>
      <c r="C6" s="2"/>
      <c r="E6" s="1">
        <v>5</v>
      </c>
      <c r="G6" s="1" t="s">
        <v>9</v>
      </c>
      <c r="H6" s="1">
        <v>20008</v>
      </c>
      <c r="I6" s="1" t="s">
        <v>5</v>
      </c>
      <c r="J6" s="23">
        <v>0</v>
      </c>
      <c r="K6" s="1" t="s">
        <v>6</v>
      </c>
      <c r="L6" s="23">
        <v>0.99998842592592596</v>
      </c>
      <c r="M6" s="1">
        <v>6.6</v>
      </c>
      <c r="N6" s="1">
        <v>8.8000000000000007</v>
      </c>
      <c r="O6" s="1">
        <v>11</v>
      </c>
      <c r="P6" s="1">
        <v>-1</v>
      </c>
      <c r="Q6" s="1">
        <v>-1</v>
      </c>
      <c r="R6" s="1">
        <v>-1</v>
      </c>
      <c r="S6" s="1">
        <v>13.3</v>
      </c>
      <c r="T6" s="1">
        <v>18</v>
      </c>
      <c r="U6" s="1">
        <v>22.5</v>
      </c>
      <c r="V6" s="1">
        <v>6.6</v>
      </c>
      <c r="W6" s="1">
        <v>8.8000000000000007</v>
      </c>
      <c r="X6" s="1">
        <v>11</v>
      </c>
      <c r="Y6" s="1">
        <v>18</v>
      </c>
      <c r="Z6" s="1">
        <v>22.5</v>
      </c>
      <c r="AA6" s="1">
        <v>8.8000000000000007</v>
      </c>
      <c r="AB6" s="1">
        <v>11</v>
      </c>
      <c r="AC6" s="1">
        <v>11</v>
      </c>
      <c r="AD6" s="45">
        <v>45076</v>
      </c>
    </row>
    <row r="7" spans="1:30" x14ac:dyDescent="0.3">
      <c r="A7" s="2"/>
      <c r="B7" s="2"/>
      <c r="C7" s="2"/>
      <c r="G7" s="1" t="s">
        <v>10</v>
      </c>
      <c r="H7" s="1">
        <v>20010</v>
      </c>
      <c r="I7" s="1" t="s">
        <v>5</v>
      </c>
      <c r="J7" s="23">
        <v>0</v>
      </c>
      <c r="K7" s="1" t="s">
        <v>6</v>
      </c>
      <c r="L7" s="23">
        <v>0.99998842592592596</v>
      </c>
      <c r="M7" s="1">
        <v>7.1</v>
      </c>
      <c r="N7" s="1">
        <v>10.4</v>
      </c>
      <c r="O7" s="1">
        <v>12.8</v>
      </c>
      <c r="P7" s="1">
        <v>-1</v>
      </c>
      <c r="Q7" s="1">
        <v>-1</v>
      </c>
      <c r="R7" s="1">
        <v>-1</v>
      </c>
      <c r="S7" s="1">
        <v>14.4</v>
      </c>
      <c r="T7" s="1">
        <v>21.5</v>
      </c>
      <c r="U7" s="1">
        <v>26.1</v>
      </c>
      <c r="V7" s="1">
        <v>7.1</v>
      </c>
      <c r="W7" s="1">
        <v>10.4</v>
      </c>
      <c r="X7" s="1">
        <v>12.8</v>
      </c>
      <c r="Y7" s="1">
        <v>21.5</v>
      </c>
      <c r="Z7" s="1">
        <v>26.1</v>
      </c>
      <c r="AA7" s="1">
        <v>10.4</v>
      </c>
      <c r="AB7" s="1">
        <v>12.8</v>
      </c>
      <c r="AC7" s="1">
        <v>12.8</v>
      </c>
      <c r="AD7" s="45">
        <v>45057</v>
      </c>
    </row>
    <row r="8" spans="1:30" x14ac:dyDescent="0.3">
      <c r="G8" s="1" t="s">
        <v>11</v>
      </c>
      <c r="H8" s="1">
        <v>20012</v>
      </c>
      <c r="I8" s="1" t="s">
        <v>5</v>
      </c>
      <c r="J8" s="23">
        <v>0</v>
      </c>
      <c r="K8" s="1" t="s">
        <v>6</v>
      </c>
      <c r="L8" s="23">
        <v>0.99998842592592596</v>
      </c>
      <c r="M8" s="1">
        <v>9.4</v>
      </c>
      <c r="N8" s="1">
        <v>13.8</v>
      </c>
      <c r="O8" s="1">
        <v>16.100000000000001</v>
      </c>
      <c r="P8" s="1">
        <v>-1</v>
      </c>
      <c r="Q8" s="1">
        <v>-1</v>
      </c>
      <c r="R8" s="1">
        <v>-1</v>
      </c>
      <c r="S8" s="1">
        <v>19.2</v>
      </c>
      <c r="T8" s="1">
        <v>28.3</v>
      </c>
      <c r="U8" s="1">
        <v>32.799999999999997</v>
      </c>
      <c r="V8" s="1">
        <v>9.4</v>
      </c>
      <c r="W8" s="1">
        <v>13.8</v>
      </c>
      <c r="X8" s="1">
        <v>16.100000000000001</v>
      </c>
      <c r="Y8" s="1">
        <v>28.3</v>
      </c>
      <c r="Z8" s="1">
        <v>32.799999999999997</v>
      </c>
      <c r="AA8" s="1">
        <v>13.8</v>
      </c>
      <c r="AB8" s="1">
        <v>16.100000000000001</v>
      </c>
      <c r="AC8" s="1">
        <v>16.100000000000001</v>
      </c>
      <c r="AD8" s="45">
        <v>45052</v>
      </c>
    </row>
    <row r="9" spans="1:30" x14ac:dyDescent="0.3">
      <c r="G9" s="1" t="s">
        <v>12</v>
      </c>
      <c r="H9" s="1">
        <v>20014</v>
      </c>
      <c r="I9" s="1" t="s">
        <v>5</v>
      </c>
      <c r="J9" s="23">
        <v>0</v>
      </c>
      <c r="K9" s="1" t="s">
        <v>6</v>
      </c>
      <c r="L9" s="23">
        <v>0.99998842592592596</v>
      </c>
      <c r="M9" s="1">
        <v>11.6</v>
      </c>
      <c r="N9" s="1">
        <v>17.3</v>
      </c>
      <c r="O9" s="1">
        <v>21.3</v>
      </c>
      <c r="P9" s="1">
        <v>-1</v>
      </c>
      <c r="Q9" s="1">
        <v>-1</v>
      </c>
      <c r="R9" s="1">
        <v>-1</v>
      </c>
      <c r="S9" s="1">
        <v>23.6</v>
      </c>
      <c r="T9" s="1">
        <v>35.200000000000003</v>
      </c>
      <c r="U9" s="1">
        <v>43</v>
      </c>
      <c r="V9" s="1">
        <v>11.6</v>
      </c>
      <c r="W9" s="1">
        <v>17.3</v>
      </c>
      <c r="X9" s="1">
        <v>21.3</v>
      </c>
      <c r="Y9" s="1">
        <v>35.200000000000003</v>
      </c>
      <c r="Z9" s="1">
        <v>43</v>
      </c>
      <c r="AA9" s="1">
        <v>17.3</v>
      </c>
      <c r="AB9" s="1">
        <v>21.3</v>
      </c>
      <c r="AC9" s="1">
        <v>21.3</v>
      </c>
      <c r="AD9" s="45">
        <v>45098</v>
      </c>
    </row>
    <row r="10" spans="1:30" x14ac:dyDescent="0.3">
      <c r="G10" s="1" t="s">
        <v>13</v>
      </c>
      <c r="H10" s="1">
        <v>20016</v>
      </c>
      <c r="I10" s="1" t="s">
        <v>5</v>
      </c>
      <c r="J10" s="23">
        <v>0</v>
      </c>
      <c r="K10" s="1" t="s">
        <v>6</v>
      </c>
      <c r="L10" s="23">
        <v>0.99998842592592596</v>
      </c>
      <c r="M10" s="1">
        <v>16.100000000000001</v>
      </c>
      <c r="N10" s="1">
        <v>24.1</v>
      </c>
      <c r="O10" s="1">
        <v>29.1</v>
      </c>
      <c r="P10" s="1">
        <v>-1</v>
      </c>
      <c r="Q10" s="1">
        <v>-1</v>
      </c>
      <c r="R10" s="1">
        <v>-1</v>
      </c>
      <c r="S10" s="1">
        <v>32.799999999999997</v>
      </c>
      <c r="T10" s="1">
        <v>49</v>
      </c>
      <c r="U10" s="1">
        <v>59</v>
      </c>
      <c r="V10" s="1">
        <v>16.100000000000001</v>
      </c>
      <c r="W10" s="1">
        <v>24.1</v>
      </c>
      <c r="X10" s="1">
        <v>29.1</v>
      </c>
      <c r="Y10" s="1">
        <v>49</v>
      </c>
      <c r="Z10" s="1">
        <v>59</v>
      </c>
      <c r="AA10" s="1">
        <v>24.1</v>
      </c>
      <c r="AB10" s="1">
        <v>29.1</v>
      </c>
      <c r="AC10" s="1">
        <v>29.1</v>
      </c>
      <c r="AD10" s="45">
        <v>45092</v>
      </c>
    </row>
    <row r="11" spans="1:30" x14ac:dyDescent="0.3">
      <c r="G11" s="1" t="s">
        <v>14</v>
      </c>
      <c r="H11" s="1">
        <v>20018</v>
      </c>
      <c r="I11" s="1" t="s">
        <v>5</v>
      </c>
      <c r="J11" s="23">
        <v>0</v>
      </c>
      <c r="K11" s="1" t="s">
        <v>6</v>
      </c>
      <c r="L11" s="23">
        <v>0.99998842592592596</v>
      </c>
      <c r="M11" s="1">
        <v>18.399999999999999</v>
      </c>
      <c r="N11" s="1">
        <v>27.5</v>
      </c>
      <c r="O11" s="1">
        <v>33.799999999999997</v>
      </c>
      <c r="P11" s="1">
        <v>-1</v>
      </c>
      <c r="Q11" s="1">
        <v>-1</v>
      </c>
      <c r="R11" s="1">
        <v>-1</v>
      </c>
      <c r="S11" s="1">
        <v>37.200000000000003</v>
      </c>
      <c r="T11" s="1">
        <v>55.6</v>
      </c>
      <c r="U11" s="1">
        <v>67.900000000000006</v>
      </c>
      <c r="V11" s="1">
        <v>18.399999999999999</v>
      </c>
      <c r="W11" s="1">
        <v>27.5</v>
      </c>
      <c r="X11" s="1">
        <v>33.799999999999997</v>
      </c>
      <c r="Y11" s="1">
        <v>55.6</v>
      </c>
      <c r="Z11" s="1">
        <v>67.900000000000006</v>
      </c>
      <c r="AA11" s="1">
        <v>27.5</v>
      </c>
      <c r="AB11" s="1">
        <v>33.799999999999997</v>
      </c>
      <c r="AC11" s="1">
        <v>33.799999999999997</v>
      </c>
      <c r="AD11" s="45">
        <v>45104</v>
      </c>
    </row>
    <row r="12" spans="1:30" x14ac:dyDescent="0.3">
      <c r="G12" s="1" t="s">
        <v>15</v>
      </c>
      <c r="H12" s="1">
        <v>20020</v>
      </c>
      <c r="I12" s="1" t="s">
        <v>5</v>
      </c>
      <c r="J12" s="23">
        <v>0</v>
      </c>
      <c r="K12" s="1" t="s">
        <v>6</v>
      </c>
      <c r="L12" s="23">
        <v>0.99998842592592596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45">
        <v>45116</v>
      </c>
    </row>
    <row r="13" spans="1:30" x14ac:dyDescent="0.3">
      <c r="E13" s="2"/>
      <c r="G13" s="1" t="s">
        <v>16</v>
      </c>
      <c r="H13" s="1">
        <v>20022</v>
      </c>
      <c r="I13" s="1" t="s">
        <v>5</v>
      </c>
      <c r="J13" s="23">
        <v>0</v>
      </c>
      <c r="K13" s="1" t="s">
        <v>6</v>
      </c>
      <c r="L13" s="23">
        <v>0.99998842592592596</v>
      </c>
      <c r="M13" s="1">
        <v>21.9</v>
      </c>
      <c r="N13" s="1">
        <v>32.1</v>
      </c>
      <c r="O13" s="1">
        <v>40.1</v>
      </c>
      <c r="P13" s="1">
        <v>-1</v>
      </c>
      <c r="Q13" s="1">
        <v>-1</v>
      </c>
      <c r="R13" s="1">
        <v>-1</v>
      </c>
      <c r="S13" s="1">
        <v>42.3</v>
      </c>
      <c r="T13" s="1">
        <v>61.5</v>
      </c>
      <c r="U13" s="1">
        <v>76.599999999999994</v>
      </c>
      <c r="V13" s="1">
        <v>21.9</v>
      </c>
      <c r="W13" s="1">
        <v>32.1</v>
      </c>
      <c r="X13" s="1">
        <v>40.1</v>
      </c>
      <c r="Y13" s="1">
        <v>61.5</v>
      </c>
      <c r="Z13" s="1">
        <v>76.599999999999994</v>
      </c>
      <c r="AA13" s="1">
        <v>32.1</v>
      </c>
      <c r="AB13" s="1">
        <v>40.1</v>
      </c>
      <c r="AC13" s="1">
        <v>40.1</v>
      </c>
      <c r="AD13" s="45">
        <v>45110</v>
      </c>
    </row>
    <row r="14" spans="1:30" x14ac:dyDescent="0.3">
      <c r="E14" s="2"/>
      <c r="G14" s="1" t="s">
        <v>17</v>
      </c>
      <c r="H14" s="1">
        <v>20024</v>
      </c>
      <c r="I14" s="1" t="s">
        <v>5</v>
      </c>
      <c r="J14" s="23">
        <v>0</v>
      </c>
      <c r="K14" s="1" t="s">
        <v>6</v>
      </c>
      <c r="L14" s="23">
        <v>0.99998842592592596</v>
      </c>
      <c r="M14" s="1">
        <v>23.5</v>
      </c>
      <c r="N14" s="1">
        <v>34.700000000000003</v>
      </c>
      <c r="O14" s="1">
        <v>42.7</v>
      </c>
      <c r="P14" s="1">
        <v>-1</v>
      </c>
      <c r="Q14" s="1">
        <v>-1</v>
      </c>
      <c r="R14" s="1">
        <v>-1</v>
      </c>
      <c r="S14" s="1">
        <v>47.7</v>
      </c>
      <c r="T14" s="1">
        <v>70.8</v>
      </c>
      <c r="U14" s="1">
        <v>86.6</v>
      </c>
      <c r="V14" s="1">
        <v>23.5</v>
      </c>
      <c r="W14" s="1">
        <v>34.700000000000003</v>
      </c>
      <c r="X14" s="1">
        <v>42.7</v>
      </c>
      <c r="Y14" s="1">
        <v>70.8</v>
      </c>
      <c r="Z14" s="1">
        <v>86.6</v>
      </c>
      <c r="AA14" s="1">
        <v>34.700000000000003</v>
      </c>
      <c r="AB14" s="1">
        <v>42.7</v>
      </c>
      <c r="AC14" s="1">
        <v>42.7</v>
      </c>
      <c r="AD14" s="45">
        <v>45095</v>
      </c>
    </row>
    <row r="15" spans="1:30" x14ac:dyDescent="0.3">
      <c r="G15" s="1" t="s">
        <v>18</v>
      </c>
      <c r="H15" s="1">
        <v>20026</v>
      </c>
      <c r="I15" s="1" t="s">
        <v>5</v>
      </c>
      <c r="J15" s="23">
        <v>0</v>
      </c>
      <c r="K15" s="1" t="s">
        <v>6</v>
      </c>
      <c r="L15" s="23">
        <v>0.99998842592592596</v>
      </c>
      <c r="M15" s="1">
        <v>26.8</v>
      </c>
      <c r="N15" s="1">
        <v>39.299999999999997</v>
      </c>
      <c r="O15" s="1">
        <v>47.9</v>
      </c>
      <c r="P15" s="1">
        <v>-1</v>
      </c>
      <c r="Q15" s="1">
        <v>-1</v>
      </c>
      <c r="R15" s="1">
        <v>-1</v>
      </c>
      <c r="S15" s="1">
        <v>54.6</v>
      </c>
      <c r="T15" s="1">
        <v>79.599999999999994</v>
      </c>
      <c r="U15" s="1">
        <v>96.8</v>
      </c>
      <c r="V15" s="1">
        <v>26.8</v>
      </c>
      <c r="W15" s="1">
        <v>39.299999999999997</v>
      </c>
      <c r="X15" s="1">
        <v>47.9</v>
      </c>
      <c r="Y15" s="1">
        <v>79.599999999999994</v>
      </c>
      <c r="Z15" s="1">
        <v>96.8</v>
      </c>
      <c r="AA15" s="1">
        <v>39.299999999999997</v>
      </c>
      <c r="AB15" s="1">
        <v>47.9</v>
      </c>
      <c r="AC15" s="1">
        <v>47.9</v>
      </c>
      <c r="AD15" s="45">
        <v>45113</v>
      </c>
    </row>
    <row r="16" spans="1:30" x14ac:dyDescent="0.3">
      <c r="G16" s="1" t="s">
        <v>19</v>
      </c>
      <c r="H16" s="1">
        <v>20028</v>
      </c>
      <c r="I16" s="1" t="s">
        <v>5</v>
      </c>
      <c r="J16" s="23">
        <v>0</v>
      </c>
      <c r="K16" s="1" t="s">
        <v>6</v>
      </c>
      <c r="L16" s="23">
        <v>0.99998842592592596</v>
      </c>
      <c r="M16" s="1">
        <v>28</v>
      </c>
      <c r="N16" s="1">
        <v>41</v>
      </c>
      <c r="O16" s="1">
        <v>50.1</v>
      </c>
      <c r="P16" s="1">
        <v>-1</v>
      </c>
      <c r="Q16" s="1">
        <v>-1</v>
      </c>
      <c r="R16" s="1">
        <v>-1</v>
      </c>
      <c r="S16" s="1">
        <v>56.7</v>
      </c>
      <c r="T16" s="1">
        <v>83.2</v>
      </c>
      <c r="U16" s="1">
        <v>101.3</v>
      </c>
      <c r="V16" s="1">
        <v>28</v>
      </c>
      <c r="W16" s="1">
        <v>41</v>
      </c>
      <c r="X16" s="1">
        <v>50.1</v>
      </c>
      <c r="Y16" s="1">
        <v>83.2</v>
      </c>
      <c r="Z16" s="1">
        <v>101.3</v>
      </c>
      <c r="AA16" s="1">
        <v>41</v>
      </c>
      <c r="AB16" s="1">
        <v>50.1</v>
      </c>
      <c r="AC16" s="1">
        <v>50.1</v>
      </c>
      <c r="AD16" s="45">
        <v>45063</v>
      </c>
    </row>
    <row r="17" spans="7:30" x14ac:dyDescent="0.3">
      <c r="G17" s="1" t="s">
        <v>20</v>
      </c>
      <c r="H17" s="1">
        <v>20030</v>
      </c>
      <c r="I17" s="1" t="s">
        <v>5</v>
      </c>
      <c r="J17" s="23">
        <v>0</v>
      </c>
      <c r="K17" s="1" t="s">
        <v>6</v>
      </c>
      <c r="L17" s="23">
        <v>0.99998842592592596</v>
      </c>
      <c r="M17" s="1">
        <v>28.5</v>
      </c>
      <c r="N17" s="1">
        <v>42.3</v>
      </c>
      <c r="O17" s="1">
        <v>52.3</v>
      </c>
      <c r="P17" s="1">
        <v>-1</v>
      </c>
      <c r="Q17" s="1">
        <v>-1</v>
      </c>
      <c r="R17" s="1">
        <v>-1</v>
      </c>
      <c r="S17" s="1">
        <v>58.3</v>
      </c>
      <c r="T17" s="1">
        <v>85.4</v>
      </c>
      <c r="U17" s="1">
        <v>106.1</v>
      </c>
      <c r="V17" s="1">
        <v>28.5</v>
      </c>
      <c r="W17" s="1">
        <v>42.3</v>
      </c>
      <c r="X17" s="1">
        <v>52.3</v>
      </c>
      <c r="Y17" s="1">
        <v>85.4</v>
      </c>
      <c r="Z17" s="1">
        <v>106.1</v>
      </c>
      <c r="AA17" s="1">
        <v>42.3</v>
      </c>
      <c r="AB17" s="1">
        <v>52.3</v>
      </c>
      <c r="AC17" s="1">
        <v>52.3</v>
      </c>
      <c r="AD17" s="45">
        <v>45071</v>
      </c>
    </row>
    <row r="18" spans="7:30" x14ac:dyDescent="0.3">
      <c r="G18" s="1" t="s">
        <v>21</v>
      </c>
      <c r="H18" s="1">
        <v>20032</v>
      </c>
      <c r="I18" s="1" t="s">
        <v>5</v>
      </c>
      <c r="J18" s="23">
        <v>0</v>
      </c>
      <c r="K18" s="1" t="s">
        <v>6</v>
      </c>
      <c r="L18" s="23">
        <v>0.99998842592592596</v>
      </c>
      <c r="M18" s="1">
        <v>29.1</v>
      </c>
      <c r="N18" s="1">
        <v>43.3</v>
      </c>
      <c r="O18" s="1">
        <v>53.7</v>
      </c>
      <c r="P18" s="1">
        <v>-1</v>
      </c>
      <c r="Q18" s="1">
        <v>-1</v>
      </c>
      <c r="R18" s="1">
        <v>-1</v>
      </c>
      <c r="S18" s="1">
        <v>59</v>
      </c>
      <c r="T18" s="1">
        <v>87.6</v>
      </c>
      <c r="U18" s="1">
        <v>108.8</v>
      </c>
      <c r="V18" s="1">
        <v>29.1</v>
      </c>
      <c r="W18" s="1">
        <v>43.3</v>
      </c>
      <c r="X18" s="1">
        <v>53.7</v>
      </c>
      <c r="Y18" s="1">
        <v>87.6</v>
      </c>
      <c r="Z18" s="1">
        <v>108.8</v>
      </c>
      <c r="AA18" s="1">
        <v>43.3</v>
      </c>
      <c r="AB18" s="1">
        <v>53.7</v>
      </c>
      <c r="AC18" s="1">
        <v>53.7</v>
      </c>
      <c r="AD18" s="45">
        <v>45085</v>
      </c>
    </row>
    <row r="19" spans="7:30" x14ac:dyDescent="0.3">
      <c r="G19" s="1" t="s">
        <v>22</v>
      </c>
      <c r="H19" s="1">
        <v>20034</v>
      </c>
      <c r="I19" s="1" t="s">
        <v>5</v>
      </c>
      <c r="J19" s="23">
        <v>0</v>
      </c>
      <c r="K19" s="1" t="s">
        <v>6</v>
      </c>
      <c r="L19" s="23">
        <v>0.99998842592592596</v>
      </c>
      <c r="M19" s="1">
        <v>30.7</v>
      </c>
      <c r="N19" s="1">
        <v>45.5</v>
      </c>
      <c r="O19" s="1">
        <v>57</v>
      </c>
      <c r="P19" s="1">
        <v>-1</v>
      </c>
      <c r="Q19" s="1">
        <v>-1</v>
      </c>
      <c r="R19" s="1">
        <v>-1</v>
      </c>
      <c r="S19" s="1">
        <v>62.5</v>
      </c>
      <c r="T19" s="1">
        <v>92.1</v>
      </c>
      <c r="U19" s="1">
        <v>115.1</v>
      </c>
      <c r="V19" s="1">
        <v>30.7</v>
      </c>
      <c r="W19" s="1">
        <v>45.5</v>
      </c>
      <c r="X19" s="1">
        <v>57</v>
      </c>
      <c r="Y19" s="1">
        <v>92.1</v>
      </c>
      <c r="Z19" s="1">
        <v>115.1</v>
      </c>
      <c r="AA19" s="1">
        <v>45.5</v>
      </c>
      <c r="AB19" s="1">
        <v>57</v>
      </c>
      <c r="AC19" s="1">
        <v>57</v>
      </c>
      <c r="AD19" s="45">
        <v>45099</v>
      </c>
    </row>
    <row r="20" spans="7:30" x14ac:dyDescent="0.3">
      <c r="G20" s="1" t="s">
        <v>23</v>
      </c>
      <c r="H20" s="1">
        <v>20036</v>
      </c>
      <c r="I20" s="1" t="s">
        <v>5</v>
      </c>
      <c r="J20" s="23">
        <v>0</v>
      </c>
      <c r="K20" s="1" t="s">
        <v>6</v>
      </c>
      <c r="L20" s="23">
        <v>0.99998842592592596</v>
      </c>
      <c r="M20" s="1">
        <v>33.799999999999997</v>
      </c>
      <c r="N20" s="1">
        <v>50.1</v>
      </c>
      <c r="O20" s="1">
        <v>61.4</v>
      </c>
      <c r="P20" s="1">
        <v>-1</v>
      </c>
      <c r="Q20" s="1">
        <v>-1</v>
      </c>
      <c r="R20" s="1">
        <v>-1</v>
      </c>
      <c r="S20" s="1">
        <v>67.900000000000006</v>
      </c>
      <c r="T20" s="1">
        <v>101.3</v>
      </c>
      <c r="U20" s="1">
        <v>124.4</v>
      </c>
      <c r="V20" s="1">
        <v>33.799999999999997</v>
      </c>
      <c r="W20" s="1">
        <v>50.1</v>
      </c>
      <c r="X20" s="1">
        <v>61.4</v>
      </c>
      <c r="Y20" s="1">
        <v>101.3</v>
      </c>
      <c r="Z20" s="1">
        <v>124.4</v>
      </c>
      <c r="AA20" s="1">
        <v>50.1</v>
      </c>
      <c r="AB20" s="1">
        <v>61.4</v>
      </c>
      <c r="AC20" s="1">
        <v>61.4</v>
      </c>
      <c r="AD20" s="45">
        <v>45091</v>
      </c>
    </row>
    <row r="21" spans="7:30" x14ac:dyDescent="0.3">
      <c r="G21" s="1" t="s">
        <v>24</v>
      </c>
      <c r="H21" s="1">
        <v>20038</v>
      </c>
      <c r="I21" s="1" t="s">
        <v>5</v>
      </c>
      <c r="J21" s="23">
        <v>0</v>
      </c>
      <c r="K21" s="1" t="s">
        <v>6</v>
      </c>
      <c r="L21" s="23">
        <v>0.99998842592592596</v>
      </c>
      <c r="M21" s="1">
        <v>34.700000000000003</v>
      </c>
      <c r="N21" s="1">
        <v>52.3</v>
      </c>
      <c r="O21" s="1">
        <v>63.6</v>
      </c>
      <c r="P21" s="1">
        <v>-1</v>
      </c>
      <c r="Q21" s="1">
        <v>-1</v>
      </c>
      <c r="R21" s="1">
        <v>-1</v>
      </c>
      <c r="S21" s="1">
        <v>70.8</v>
      </c>
      <c r="T21" s="1">
        <v>106.1</v>
      </c>
      <c r="U21" s="1">
        <v>128.6</v>
      </c>
      <c r="V21" s="1">
        <v>34.700000000000003</v>
      </c>
      <c r="W21" s="1">
        <v>52.3</v>
      </c>
      <c r="X21" s="1">
        <v>63.6</v>
      </c>
      <c r="Y21" s="1">
        <v>106.1</v>
      </c>
      <c r="Z21" s="1">
        <v>128.6</v>
      </c>
      <c r="AA21" s="1">
        <v>52.3</v>
      </c>
      <c r="AB21" s="1">
        <v>63.6</v>
      </c>
      <c r="AC21" s="1">
        <v>63.6</v>
      </c>
      <c r="AD21" s="45">
        <v>45079</v>
      </c>
    </row>
    <row r="22" spans="7:30" x14ac:dyDescent="0.3">
      <c r="G22" s="1" t="s">
        <v>25</v>
      </c>
      <c r="H22" s="1">
        <v>20040</v>
      </c>
      <c r="I22" s="1" t="s">
        <v>5</v>
      </c>
      <c r="J22" s="23">
        <v>0</v>
      </c>
      <c r="K22" s="1" t="s">
        <v>6</v>
      </c>
      <c r="L22" s="23">
        <v>0.99998842592592596</v>
      </c>
      <c r="M22" s="1">
        <v>36.5</v>
      </c>
      <c r="N22" s="1">
        <v>54.6</v>
      </c>
      <c r="O22" s="1">
        <v>65.900000000000006</v>
      </c>
      <c r="P22" s="1">
        <v>-1</v>
      </c>
      <c r="Q22" s="1">
        <v>-1</v>
      </c>
      <c r="R22" s="1">
        <v>-1</v>
      </c>
      <c r="S22" s="1">
        <v>73.900000000000006</v>
      </c>
      <c r="T22" s="1">
        <v>110.3</v>
      </c>
      <c r="U22" s="1">
        <v>133.4</v>
      </c>
      <c r="V22" s="1">
        <v>36.5</v>
      </c>
      <c r="W22" s="1">
        <v>54.6</v>
      </c>
      <c r="X22" s="1">
        <v>65.900000000000006</v>
      </c>
      <c r="Y22" s="1">
        <v>110.3</v>
      </c>
      <c r="Z22" s="1">
        <v>133.4</v>
      </c>
      <c r="AA22" s="1">
        <v>54.6</v>
      </c>
      <c r="AB22" s="1">
        <v>65.900000000000006</v>
      </c>
      <c r="AC22" s="1">
        <v>65.900000000000006</v>
      </c>
      <c r="AD22" s="45">
        <v>45075</v>
      </c>
    </row>
    <row r="23" spans="7:30" x14ac:dyDescent="0.3">
      <c r="G23" s="1" t="s">
        <v>41</v>
      </c>
      <c r="H23" s="1">
        <v>20042</v>
      </c>
      <c r="I23" s="1" t="s">
        <v>5</v>
      </c>
      <c r="J23" s="23">
        <v>0</v>
      </c>
      <c r="K23" s="1" t="s">
        <v>6</v>
      </c>
      <c r="L23" s="23">
        <v>0.99998842592592596</v>
      </c>
      <c r="M23" s="1">
        <v>38</v>
      </c>
      <c r="N23" s="1">
        <v>57.2</v>
      </c>
      <c r="O23" s="1">
        <v>68.7</v>
      </c>
      <c r="P23" s="1">
        <v>-1</v>
      </c>
      <c r="Q23" s="1">
        <v>-1</v>
      </c>
      <c r="R23" s="1">
        <v>-1</v>
      </c>
      <c r="S23" s="1">
        <v>76.599999999999994</v>
      </c>
      <c r="T23" s="1">
        <v>115.5</v>
      </c>
      <c r="U23" s="1">
        <v>138.80000000000001</v>
      </c>
      <c r="V23" s="1">
        <v>38</v>
      </c>
      <c r="W23" s="1">
        <v>57.2</v>
      </c>
      <c r="X23" s="1">
        <v>68.7</v>
      </c>
      <c r="Y23" s="1">
        <v>115.5</v>
      </c>
      <c r="Z23" s="1">
        <v>138.80000000000001</v>
      </c>
      <c r="AA23" s="1">
        <v>57.2</v>
      </c>
      <c r="AB23" s="1">
        <v>68.7</v>
      </c>
      <c r="AC23" s="1">
        <v>68.7</v>
      </c>
      <c r="AD23" s="45">
        <v>45110</v>
      </c>
    </row>
    <row r="24" spans="7:30" x14ac:dyDescent="0.3">
      <c r="G24" s="1" t="s">
        <v>26</v>
      </c>
      <c r="H24" s="1">
        <v>20044</v>
      </c>
      <c r="I24" s="1" t="s">
        <v>5</v>
      </c>
      <c r="J24" s="23">
        <v>0</v>
      </c>
      <c r="K24" s="1" t="s">
        <v>6</v>
      </c>
      <c r="L24" s="23">
        <v>0.99998842592592596</v>
      </c>
      <c r="M24" s="1">
        <v>38.700000000000003</v>
      </c>
      <c r="N24" s="1">
        <v>59.2</v>
      </c>
      <c r="O24" s="1">
        <v>70.400000000000006</v>
      </c>
      <c r="P24" s="1">
        <v>-1</v>
      </c>
      <c r="Q24" s="1">
        <v>-1</v>
      </c>
      <c r="R24" s="1">
        <v>-1</v>
      </c>
      <c r="S24" s="1">
        <v>78.599999999999994</v>
      </c>
      <c r="T24" s="1">
        <v>119.4</v>
      </c>
      <c r="U24" s="1">
        <v>142.5</v>
      </c>
      <c r="V24" s="1">
        <v>38.700000000000003</v>
      </c>
      <c r="W24" s="1">
        <v>59.2</v>
      </c>
      <c r="X24" s="1">
        <v>70.400000000000006</v>
      </c>
      <c r="Y24" s="1">
        <v>119.4</v>
      </c>
      <c r="Z24" s="1">
        <v>142.5</v>
      </c>
      <c r="AA24" s="1">
        <v>59.2</v>
      </c>
      <c r="AB24" s="1">
        <v>70.400000000000006</v>
      </c>
      <c r="AC24" s="1">
        <v>70.400000000000006</v>
      </c>
      <c r="AD24" s="45">
        <v>45114</v>
      </c>
    </row>
    <row r="25" spans="7:30" x14ac:dyDescent="0.3">
      <c r="G25" s="1" t="s">
        <v>27</v>
      </c>
      <c r="H25" s="1">
        <v>20046</v>
      </c>
      <c r="I25" s="1" t="s">
        <v>5</v>
      </c>
      <c r="J25" s="23">
        <v>0</v>
      </c>
      <c r="K25" s="1" t="s">
        <v>6</v>
      </c>
      <c r="L25" s="23">
        <v>0.99998842592592596</v>
      </c>
      <c r="M25" s="1">
        <v>40.1</v>
      </c>
      <c r="N25" s="1">
        <v>59.2</v>
      </c>
      <c r="O25" s="1">
        <v>72.8</v>
      </c>
      <c r="P25" s="1">
        <v>-1</v>
      </c>
      <c r="Q25" s="1">
        <v>-1</v>
      </c>
      <c r="R25" s="1">
        <v>-1</v>
      </c>
      <c r="S25" s="1">
        <v>80.8</v>
      </c>
      <c r="T25" s="1">
        <v>119.4</v>
      </c>
      <c r="U25" s="1">
        <v>146.80000000000001</v>
      </c>
      <c r="V25" s="1">
        <v>40.1</v>
      </c>
      <c r="W25" s="1">
        <v>59.2</v>
      </c>
      <c r="X25" s="1">
        <v>72.8</v>
      </c>
      <c r="Y25" s="1">
        <v>119.4</v>
      </c>
      <c r="Z25" s="1">
        <v>146.80000000000001</v>
      </c>
      <c r="AA25" s="1">
        <v>59.2</v>
      </c>
      <c r="AB25" s="1">
        <v>72.8</v>
      </c>
      <c r="AC25" s="1">
        <v>72.8</v>
      </c>
      <c r="AD25" s="45">
        <v>45118</v>
      </c>
    </row>
    <row r="26" spans="7:30" x14ac:dyDescent="0.3">
      <c r="G26" s="1" t="s">
        <v>28</v>
      </c>
      <c r="H26" s="1">
        <v>20048</v>
      </c>
      <c r="I26" s="1" t="s">
        <v>5</v>
      </c>
      <c r="J26" s="23">
        <v>0</v>
      </c>
      <c r="K26" s="1" t="s">
        <v>6</v>
      </c>
      <c r="L26" s="23">
        <v>0.99998842592592596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45">
        <v>45142</v>
      </c>
    </row>
    <row r="27" spans="7:30" x14ac:dyDescent="0.3">
      <c r="G27" s="1" t="s">
        <v>57</v>
      </c>
      <c r="H27" s="1">
        <v>20050</v>
      </c>
      <c r="I27" s="1" t="s">
        <v>5</v>
      </c>
      <c r="J27" s="23">
        <v>0</v>
      </c>
      <c r="K27" s="1" t="s">
        <v>6</v>
      </c>
      <c r="L27" s="23">
        <v>0.99998842592592596</v>
      </c>
      <c r="M27" s="1">
        <v>41.3</v>
      </c>
      <c r="N27" s="1">
        <v>61.4</v>
      </c>
      <c r="O27" s="1">
        <v>75</v>
      </c>
      <c r="P27" s="1">
        <v>-1</v>
      </c>
      <c r="Q27" s="1">
        <v>-1</v>
      </c>
      <c r="R27" s="1">
        <v>-1</v>
      </c>
      <c r="S27" s="1">
        <v>83.5</v>
      </c>
      <c r="T27" s="1">
        <v>124.4</v>
      </c>
      <c r="U27" s="1">
        <v>151.5</v>
      </c>
      <c r="V27" s="1">
        <v>41.3</v>
      </c>
      <c r="W27" s="1">
        <v>61.4</v>
      </c>
      <c r="X27" s="1">
        <v>75</v>
      </c>
      <c r="Y27" s="1">
        <v>124.4</v>
      </c>
      <c r="Z27" s="1">
        <v>151.5</v>
      </c>
      <c r="AA27" s="1">
        <v>61.4</v>
      </c>
      <c r="AB27" s="1">
        <v>75</v>
      </c>
      <c r="AC27" s="1">
        <v>75</v>
      </c>
      <c r="AD27" s="45">
        <v>45146</v>
      </c>
    </row>
    <row r="28" spans="7:30" x14ac:dyDescent="0.3">
      <c r="G28" s="1" t="s">
        <v>29</v>
      </c>
      <c r="H28" s="1">
        <v>20052</v>
      </c>
      <c r="I28" s="1" t="s">
        <v>5</v>
      </c>
      <c r="J28" s="23">
        <v>0</v>
      </c>
      <c r="K28" s="1" t="s">
        <v>6</v>
      </c>
      <c r="L28" s="23">
        <v>0.99998842592592596</v>
      </c>
      <c r="M28" s="1">
        <v>42.3</v>
      </c>
      <c r="N28" s="1">
        <v>61.4</v>
      </c>
      <c r="O28" s="1">
        <v>75</v>
      </c>
      <c r="P28" s="1">
        <v>-1</v>
      </c>
      <c r="Q28" s="1">
        <v>-1</v>
      </c>
      <c r="R28" s="1">
        <v>-1</v>
      </c>
      <c r="S28" s="1">
        <v>85.4</v>
      </c>
      <c r="T28" s="1">
        <v>124.4</v>
      </c>
      <c r="U28" s="1">
        <v>151.5</v>
      </c>
      <c r="V28" s="1">
        <v>42.3</v>
      </c>
      <c r="W28" s="1">
        <v>61.4</v>
      </c>
      <c r="X28" s="1">
        <v>75</v>
      </c>
      <c r="Y28" s="1">
        <v>124.4</v>
      </c>
      <c r="Z28" s="1">
        <v>151.5</v>
      </c>
      <c r="AA28" s="1">
        <v>61.4</v>
      </c>
      <c r="AB28" s="1">
        <v>75</v>
      </c>
      <c r="AC28" s="1">
        <v>75</v>
      </c>
      <c r="AD28" s="45">
        <v>45108</v>
      </c>
    </row>
    <row r="29" spans="7:30" x14ac:dyDescent="0.3">
      <c r="G29" s="1" t="s">
        <v>30</v>
      </c>
      <c r="H29" s="1">
        <v>20054</v>
      </c>
      <c r="I29" s="1" t="s">
        <v>5</v>
      </c>
      <c r="J29" s="23">
        <v>0</v>
      </c>
      <c r="K29" s="1" t="s">
        <v>6</v>
      </c>
      <c r="L29" s="23">
        <v>0.99998842592592596</v>
      </c>
      <c r="M29" s="1">
        <v>43.3</v>
      </c>
      <c r="N29" s="1">
        <v>63.6</v>
      </c>
      <c r="O29" s="1">
        <v>77.2</v>
      </c>
      <c r="P29" s="1">
        <v>-1</v>
      </c>
      <c r="Q29" s="1">
        <v>-1</v>
      </c>
      <c r="R29" s="1">
        <v>-1</v>
      </c>
      <c r="S29" s="1">
        <v>87.6</v>
      </c>
      <c r="T29" s="1">
        <v>128.6</v>
      </c>
      <c r="U29" s="1">
        <v>156.4</v>
      </c>
      <c r="V29" s="1">
        <v>43.3</v>
      </c>
      <c r="W29" s="1">
        <v>63.6</v>
      </c>
      <c r="X29" s="1">
        <v>77.2</v>
      </c>
      <c r="Y29" s="1">
        <v>128.6</v>
      </c>
      <c r="Z29" s="1">
        <v>156.4</v>
      </c>
      <c r="AA29" s="1">
        <v>63.6</v>
      </c>
      <c r="AB29" s="1">
        <v>77.2</v>
      </c>
      <c r="AC29" s="1">
        <v>77.2</v>
      </c>
      <c r="AD29" s="45">
        <v>45153</v>
      </c>
    </row>
    <row r="30" spans="7:30" x14ac:dyDescent="0.3">
      <c r="G30" s="1" t="s">
        <v>58</v>
      </c>
      <c r="H30" s="1">
        <v>20058</v>
      </c>
      <c r="I30" s="1" t="s">
        <v>5</v>
      </c>
      <c r="J30" s="23">
        <v>0</v>
      </c>
      <c r="K30" s="1" t="s">
        <v>6</v>
      </c>
      <c r="L30" s="23">
        <v>0.99998842592592596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1">
        <v>-1</v>
      </c>
      <c r="Y30" s="1">
        <v>-1</v>
      </c>
      <c r="Z30" s="1">
        <v>-1</v>
      </c>
      <c r="AA30" s="1">
        <v>-1</v>
      </c>
      <c r="AB30" s="1">
        <v>-1</v>
      </c>
      <c r="AC30" s="1">
        <v>-1</v>
      </c>
      <c r="AD30" s="45">
        <v>45150</v>
      </c>
    </row>
    <row r="31" spans="7:30" x14ac:dyDescent="0.3">
      <c r="G31" s="1" t="s">
        <v>31</v>
      </c>
      <c r="H31" s="1">
        <v>20060</v>
      </c>
      <c r="I31" s="1" t="s">
        <v>5</v>
      </c>
      <c r="J31" s="23">
        <v>0</v>
      </c>
      <c r="K31" s="1" t="s">
        <v>6</v>
      </c>
      <c r="L31" s="23">
        <v>0.99998842592592596</v>
      </c>
      <c r="M31" s="1">
        <v>45</v>
      </c>
      <c r="N31" s="1">
        <v>65.900000000000006</v>
      </c>
      <c r="O31" s="1">
        <v>79.400000000000006</v>
      </c>
      <c r="P31" s="1">
        <v>-1</v>
      </c>
      <c r="Q31" s="1">
        <v>-1</v>
      </c>
      <c r="R31" s="1">
        <v>-1</v>
      </c>
      <c r="S31" s="1">
        <v>90.9</v>
      </c>
      <c r="T31" s="1">
        <v>133.4</v>
      </c>
      <c r="U31" s="1">
        <v>160.9</v>
      </c>
      <c r="V31" s="1">
        <v>45</v>
      </c>
      <c r="W31" s="1">
        <v>65.900000000000006</v>
      </c>
      <c r="X31" s="1">
        <v>79.400000000000006</v>
      </c>
      <c r="Y31" s="1">
        <v>133.4</v>
      </c>
      <c r="Z31" s="1">
        <v>160.9</v>
      </c>
      <c r="AA31" s="1">
        <v>65.900000000000006</v>
      </c>
      <c r="AB31" s="1">
        <v>79.400000000000006</v>
      </c>
      <c r="AC31" s="1">
        <v>79.400000000000006</v>
      </c>
      <c r="AD31" s="45">
        <v>45157</v>
      </c>
    </row>
    <row r="32" spans="7:30" x14ac:dyDescent="0.3">
      <c r="G32" s="1" t="s">
        <v>32</v>
      </c>
      <c r="H32" s="1">
        <v>21000</v>
      </c>
      <c r="I32" s="1" t="s">
        <v>5</v>
      </c>
      <c r="J32" s="23">
        <v>0</v>
      </c>
      <c r="K32" s="1" t="s">
        <v>6</v>
      </c>
      <c r="L32" s="23">
        <v>0.99998842592592596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1">
        <v>-1</v>
      </c>
      <c r="Y32" s="1">
        <v>-1</v>
      </c>
      <c r="Z32" s="1">
        <v>-1</v>
      </c>
      <c r="AA32" s="1">
        <v>-1</v>
      </c>
      <c r="AB32" s="1">
        <v>-1</v>
      </c>
      <c r="AC32" s="1">
        <v>-1</v>
      </c>
      <c r="AD32" s="45">
        <v>45143</v>
      </c>
    </row>
    <row r="33" spans="7:30" x14ac:dyDescent="0.3">
      <c r="G33" s="1" t="s">
        <v>33</v>
      </c>
      <c r="H33" s="1">
        <v>21002</v>
      </c>
      <c r="I33" s="1" t="s">
        <v>5</v>
      </c>
      <c r="J33" s="23">
        <v>0</v>
      </c>
      <c r="K33" s="1" t="s">
        <v>6</v>
      </c>
      <c r="L33" s="23">
        <v>0.99998842592592596</v>
      </c>
      <c r="M33" s="1">
        <v>41.5</v>
      </c>
      <c r="N33" s="1">
        <v>61.4</v>
      </c>
      <c r="O33" s="1">
        <v>75</v>
      </c>
      <c r="P33" s="1">
        <v>-1</v>
      </c>
      <c r="Q33" s="1">
        <v>-1</v>
      </c>
      <c r="R33" s="1">
        <v>-1</v>
      </c>
      <c r="S33" s="1">
        <v>84.6</v>
      </c>
      <c r="T33" s="1">
        <v>124.4</v>
      </c>
      <c r="U33" s="1">
        <v>151.5</v>
      </c>
      <c r="V33" s="1">
        <v>41.5</v>
      </c>
      <c r="W33" s="1">
        <v>61.4</v>
      </c>
      <c r="X33" s="1">
        <v>75</v>
      </c>
      <c r="Y33" s="1">
        <v>124.4</v>
      </c>
      <c r="Z33" s="1">
        <v>151.5</v>
      </c>
      <c r="AA33" s="1">
        <v>61.4</v>
      </c>
      <c r="AB33" s="1">
        <v>75</v>
      </c>
      <c r="AC33" s="1">
        <v>75</v>
      </c>
      <c r="AD33" s="45">
        <v>45166</v>
      </c>
    </row>
    <row r="34" spans="7:30" x14ac:dyDescent="0.3">
      <c r="G34" s="1" t="s">
        <v>34</v>
      </c>
      <c r="H34" s="1">
        <v>21004</v>
      </c>
      <c r="I34" s="1" t="s">
        <v>5</v>
      </c>
      <c r="J34" s="23">
        <v>0</v>
      </c>
      <c r="K34" s="1" t="s">
        <v>6</v>
      </c>
      <c r="L34" s="23">
        <v>0.99998842592592596</v>
      </c>
      <c r="M34" s="1">
        <v>43.3</v>
      </c>
      <c r="N34" s="1">
        <v>63.6</v>
      </c>
      <c r="O34" s="1">
        <v>79.400000000000006</v>
      </c>
      <c r="P34" s="1">
        <v>-1</v>
      </c>
      <c r="Q34" s="1">
        <v>-1</v>
      </c>
      <c r="R34" s="1">
        <v>-1</v>
      </c>
      <c r="S34" s="1">
        <v>87.6</v>
      </c>
      <c r="T34" s="1">
        <v>128.6</v>
      </c>
      <c r="U34" s="1">
        <v>160.9</v>
      </c>
      <c r="V34" s="1">
        <v>43.3</v>
      </c>
      <c r="W34" s="1">
        <v>63.6</v>
      </c>
      <c r="X34" s="1">
        <v>79.400000000000006</v>
      </c>
      <c r="Y34" s="1">
        <v>128.6</v>
      </c>
      <c r="Z34" s="1">
        <v>160.9</v>
      </c>
      <c r="AA34" s="1">
        <v>63.6</v>
      </c>
      <c r="AB34" s="1">
        <v>79.400000000000006</v>
      </c>
      <c r="AC34" s="1">
        <v>79.400000000000006</v>
      </c>
      <c r="AD34" s="45">
        <v>45162</v>
      </c>
    </row>
    <row r="35" spans="7:30" x14ac:dyDescent="0.3">
      <c r="G35" s="1" t="s">
        <v>35</v>
      </c>
      <c r="H35" s="1">
        <v>21006</v>
      </c>
      <c r="I35" s="1" t="s">
        <v>5</v>
      </c>
      <c r="J35" s="23">
        <v>0</v>
      </c>
      <c r="K35" s="1" t="s">
        <v>6</v>
      </c>
      <c r="L35" s="23">
        <v>0.99998842592592596</v>
      </c>
      <c r="M35" s="1">
        <v>44.5</v>
      </c>
      <c r="N35" s="1">
        <v>65.900000000000006</v>
      </c>
      <c r="O35" s="1">
        <v>81.8</v>
      </c>
      <c r="P35" s="1">
        <v>-1</v>
      </c>
      <c r="Q35" s="1">
        <v>-1</v>
      </c>
      <c r="R35" s="1">
        <v>-1</v>
      </c>
      <c r="S35" s="1">
        <v>89.9</v>
      </c>
      <c r="T35" s="1">
        <v>133.4</v>
      </c>
      <c r="U35" s="1">
        <v>165.3</v>
      </c>
      <c r="V35" s="1">
        <v>44.5</v>
      </c>
      <c r="W35" s="1">
        <v>65.900000000000006</v>
      </c>
      <c r="X35" s="1">
        <v>81.8</v>
      </c>
      <c r="Y35" s="1">
        <v>133.4</v>
      </c>
      <c r="Z35" s="1">
        <v>165.3</v>
      </c>
      <c r="AA35" s="1">
        <v>65.900000000000006</v>
      </c>
      <c r="AB35" s="1">
        <v>81.8</v>
      </c>
      <c r="AC35" s="1">
        <v>81.8</v>
      </c>
      <c r="AD35" s="45">
        <v>45160</v>
      </c>
    </row>
    <row r="36" spans="7:30" x14ac:dyDescent="0.3">
      <c r="G36" s="1" t="s">
        <v>36</v>
      </c>
      <c r="H36" s="1">
        <v>21008</v>
      </c>
      <c r="I36" s="1" t="s">
        <v>5</v>
      </c>
      <c r="J36" s="23">
        <v>0</v>
      </c>
      <c r="K36" s="1" t="s">
        <v>6</v>
      </c>
      <c r="L36" s="23">
        <v>0.99998842592592596</v>
      </c>
      <c r="M36" s="1">
        <v>47.3</v>
      </c>
      <c r="N36" s="1">
        <v>70.400000000000006</v>
      </c>
      <c r="O36" s="1">
        <v>86.4</v>
      </c>
      <c r="P36" s="1">
        <v>-1</v>
      </c>
      <c r="Q36" s="1">
        <v>-1</v>
      </c>
      <c r="R36" s="1">
        <v>-1</v>
      </c>
      <c r="S36" s="1">
        <v>95.6</v>
      </c>
      <c r="T36" s="1">
        <v>142.5</v>
      </c>
      <c r="U36" s="1">
        <v>174.2</v>
      </c>
      <c r="V36" s="1">
        <v>47.3</v>
      </c>
      <c r="W36" s="1">
        <v>70.400000000000006</v>
      </c>
      <c r="X36" s="1">
        <v>86.4</v>
      </c>
      <c r="Y36" s="1">
        <v>142.5</v>
      </c>
      <c r="Z36" s="1">
        <v>174.2</v>
      </c>
      <c r="AA36" s="1">
        <v>70.400000000000006</v>
      </c>
      <c r="AB36" s="1">
        <v>86.4</v>
      </c>
      <c r="AC36" s="1">
        <v>86.4</v>
      </c>
      <c r="AD36" s="45">
        <v>45179</v>
      </c>
    </row>
    <row r="37" spans="7:30" x14ac:dyDescent="0.3">
      <c r="G37" s="1" t="s">
        <v>42</v>
      </c>
      <c r="H37" s="1">
        <v>21010</v>
      </c>
      <c r="I37" s="1" t="s">
        <v>5</v>
      </c>
      <c r="J37" s="23">
        <v>0</v>
      </c>
      <c r="K37" s="1" t="s">
        <v>6</v>
      </c>
      <c r="L37" s="23">
        <v>0.99998842592592596</v>
      </c>
      <c r="M37" s="1">
        <v>48.3</v>
      </c>
      <c r="N37" s="1">
        <v>72</v>
      </c>
      <c r="O37" s="1">
        <v>89</v>
      </c>
      <c r="P37" s="1">
        <v>-1</v>
      </c>
      <c r="Q37" s="1">
        <v>-1</v>
      </c>
      <c r="R37" s="1">
        <v>-1</v>
      </c>
      <c r="S37" s="1">
        <v>97.9</v>
      </c>
      <c r="T37" s="1">
        <v>145.5</v>
      </c>
      <c r="U37" s="1">
        <v>179.8</v>
      </c>
      <c r="V37" s="1">
        <v>48.3</v>
      </c>
      <c r="W37" s="1">
        <v>72</v>
      </c>
      <c r="X37" s="1">
        <v>89</v>
      </c>
      <c r="Y37" s="1">
        <v>145.5</v>
      </c>
      <c r="Z37" s="1">
        <v>179.8</v>
      </c>
      <c r="AA37" s="1">
        <v>72</v>
      </c>
      <c r="AB37" s="1">
        <v>89</v>
      </c>
      <c r="AC37" s="1">
        <v>89</v>
      </c>
      <c r="AD37" s="45">
        <v>45157</v>
      </c>
    </row>
    <row r="38" spans="7:30" x14ac:dyDescent="0.3">
      <c r="G38" s="1" t="s">
        <v>37</v>
      </c>
      <c r="H38" s="1">
        <v>21012</v>
      </c>
      <c r="I38" s="1" t="s">
        <v>5</v>
      </c>
      <c r="J38" s="23">
        <v>0</v>
      </c>
      <c r="K38" s="1" t="s">
        <v>6</v>
      </c>
      <c r="L38" s="23">
        <v>0.99998842592592596</v>
      </c>
      <c r="M38" s="1">
        <v>49.1</v>
      </c>
      <c r="N38" s="1">
        <v>72.8</v>
      </c>
      <c r="O38" s="1">
        <v>90.9</v>
      </c>
      <c r="P38" s="1">
        <v>-1</v>
      </c>
      <c r="Q38" s="1">
        <v>-1</v>
      </c>
      <c r="R38" s="1">
        <v>-1</v>
      </c>
      <c r="S38" s="1">
        <v>99.5</v>
      </c>
      <c r="T38" s="1">
        <v>146.80000000000001</v>
      </c>
      <c r="U38" s="1">
        <v>183.5</v>
      </c>
      <c r="V38" s="1">
        <v>49.1</v>
      </c>
      <c r="W38" s="1">
        <v>72.8</v>
      </c>
      <c r="X38" s="1">
        <v>90.9</v>
      </c>
      <c r="Y38" s="1">
        <v>146.80000000000001</v>
      </c>
      <c r="Z38" s="1">
        <v>183.5</v>
      </c>
      <c r="AA38" s="1">
        <v>72.8</v>
      </c>
      <c r="AB38" s="1">
        <v>90.9</v>
      </c>
      <c r="AC38" s="1">
        <v>90.9</v>
      </c>
      <c r="AD38" s="45">
        <v>45143</v>
      </c>
    </row>
    <row r="39" spans="7:30" x14ac:dyDescent="0.3">
      <c r="G39" s="1" t="s">
        <v>38</v>
      </c>
      <c r="H39" s="1">
        <v>21014</v>
      </c>
      <c r="I39" s="1" t="s">
        <v>5</v>
      </c>
      <c r="J39" s="23">
        <v>0</v>
      </c>
      <c r="K39" s="1" t="s">
        <v>6</v>
      </c>
      <c r="L39" s="23">
        <v>0.99998842592592596</v>
      </c>
      <c r="M39" s="1">
        <v>50.6</v>
      </c>
      <c r="N39" s="1">
        <v>75</v>
      </c>
      <c r="O39" s="1">
        <v>93.1</v>
      </c>
      <c r="P39" s="1">
        <v>-1</v>
      </c>
      <c r="Q39" s="1">
        <v>-1</v>
      </c>
      <c r="R39" s="1">
        <v>-1</v>
      </c>
      <c r="S39" s="1">
        <v>102.6</v>
      </c>
      <c r="T39" s="1">
        <v>151.5</v>
      </c>
      <c r="U39" s="1">
        <v>188.1</v>
      </c>
      <c r="V39" s="1">
        <v>50.6</v>
      </c>
      <c r="W39" s="1">
        <v>75</v>
      </c>
      <c r="X39" s="1">
        <v>93.1</v>
      </c>
      <c r="Y39" s="1">
        <v>151.5</v>
      </c>
      <c r="Z39" s="1">
        <v>188.1</v>
      </c>
      <c r="AA39" s="1">
        <v>75</v>
      </c>
      <c r="AB39" s="1">
        <v>93.1</v>
      </c>
      <c r="AC39" s="1">
        <v>93.1</v>
      </c>
      <c r="AD39" s="45">
        <v>45166</v>
      </c>
    </row>
    <row r="40" spans="7:30" x14ac:dyDescent="0.3">
      <c r="G40" s="1" t="s">
        <v>39</v>
      </c>
      <c r="H40" s="1">
        <v>21016</v>
      </c>
      <c r="I40" s="1" t="s">
        <v>5</v>
      </c>
      <c r="J40" s="23">
        <v>0</v>
      </c>
      <c r="K40" s="1" t="s">
        <v>6</v>
      </c>
      <c r="L40" s="23">
        <v>0.99998842592592596</v>
      </c>
      <c r="M40" s="1">
        <v>51.8</v>
      </c>
      <c r="N40" s="1">
        <v>77.2</v>
      </c>
      <c r="O40" s="1">
        <v>93.1</v>
      </c>
      <c r="P40" s="1">
        <v>-1</v>
      </c>
      <c r="Q40" s="1">
        <v>-1</v>
      </c>
      <c r="R40" s="1">
        <v>-1</v>
      </c>
      <c r="S40" s="1">
        <v>104.5</v>
      </c>
      <c r="T40" s="1">
        <v>156.4</v>
      </c>
      <c r="U40" s="1">
        <v>188.1</v>
      </c>
      <c r="V40" s="1">
        <v>51.8</v>
      </c>
      <c r="W40" s="1">
        <v>77.2</v>
      </c>
      <c r="X40" s="1">
        <v>93.1</v>
      </c>
      <c r="Y40" s="1">
        <v>156.4</v>
      </c>
      <c r="Z40" s="1">
        <v>188.1</v>
      </c>
      <c r="AA40" s="1">
        <v>77.2</v>
      </c>
      <c r="AB40" s="1">
        <v>93.1</v>
      </c>
      <c r="AC40" s="1">
        <v>93.1</v>
      </c>
      <c r="AD40" s="45">
        <v>45162</v>
      </c>
    </row>
    <row r="41" spans="7:30" x14ac:dyDescent="0.3">
      <c r="M41" s="1">
        <f>SUMIF(M2:M40,"&gt;20")</f>
        <v>958.5999999999998</v>
      </c>
      <c r="N41" s="1">
        <f>SUMIF(N2:N40,"&gt;20")</f>
        <v>1473.0000000000002</v>
      </c>
    </row>
  </sheetData>
  <conditionalFormatting sqref="G1:G40">
    <cfRule type="duplicateValues" dxfId="7" priority="4"/>
  </conditionalFormatting>
  <conditionalFormatting sqref="H1:H40">
    <cfRule type="duplicateValues" dxfId="6" priority="3"/>
  </conditionalFormatting>
  <conditionalFormatting sqref="G1:AD40">
    <cfRule type="cellIs" dxfId="5" priority="2" operator="equal">
      <formula>-1</formula>
    </cfRule>
  </conditionalFormatting>
  <conditionalFormatting sqref="M1:AD40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4"/>
  <sheetViews>
    <sheetView zoomScale="66" zoomScaleNormal="100" workbookViewId="0">
      <selection activeCell="F31" sqref="F3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9" width="19" style="2" bestFit="1" customWidth="1"/>
    <col min="10" max="16384" width="11" style="2"/>
  </cols>
  <sheetData>
    <row r="1" spans="1:32" s="41" customFormat="1" ht="21" x14ac:dyDescent="0.4">
      <c r="A1" s="42" t="s">
        <v>55</v>
      </c>
      <c r="B1" s="41" t="s">
        <v>165</v>
      </c>
    </row>
    <row r="2" spans="1:32" s="41" customFormat="1" ht="21" x14ac:dyDescent="0.4">
      <c r="B2" s="41" t="s">
        <v>162</v>
      </c>
    </row>
    <row r="3" spans="1:32" ht="14.4" x14ac:dyDescent="0.3">
      <c r="A3" s="1"/>
      <c r="B3" s="1"/>
      <c r="C3" s="1"/>
      <c r="D3" s="1"/>
      <c r="E3" s="1"/>
      <c r="F3" s="1"/>
      <c r="G3" s="1"/>
    </row>
    <row r="4" spans="1:32" ht="23.4" x14ac:dyDescent="0.45">
      <c r="A4" s="17" t="s">
        <v>163</v>
      </c>
      <c r="B4" s="1"/>
      <c r="C4" s="1"/>
      <c r="D4" s="1"/>
      <c r="E4" s="1"/>
      <c r="F4" s="1"/>
      <c r="G4" s="1"/>
    </row>
    <row r="5" spans="1:32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  <c r="I5" s="27" t="s">
        <v>64</v>
      </c>
      <c r="J5" s="27" t="s">
        <v>43</v>
      </c>
      <c r="K5" s="27" t="s">
        <v>0</v>
      </c>
      <c r="L5" s="28" t="s">
        <v>1</v>
      </c>
      <c r="M5" s="27" t="s">
        <v>2</v>
      </c>
      <c r="N5" s="28" t="s">
        <v>3</v>
      </c>
      <c r="O5" s="29" t="s">
        <v>79</v>
      </c>
      <c r="P5" s="29" t="s">
        <v>65</v>
      </c>
      <c r="Q5" s="29" t="s">
        <v>66</v>
      </c>
      <c r="R5" s="30" t="s">
        <v>67</v>
      </c>
      <c r="S5" s="30" t="s">
        <v>68</v>
      </c>
      <c r="T5" s="30" t="s">
        <v>69</v>
      </c>
      <c r="U5" s="29" t="s">
        <v>70</v>
      </c>
      <c r="V5" s="29" t="s">
        <v>71</v>
      </c>
      <c r="W5" s="29" t="s">
        <v>72</v>
      </c>
      <c r="X5" s="30" t="s">
        <v>73</v>
      </c>
      <c r="Y5" s="30" t="s">
        <v>74</v>
      </c>
      <c r="Z5" s="30" t="s">
        <v>75</v>
      </c>
      <c r="AA5" s="29" t="s">
        <v>80</v>
      </c>
      <c r="AB5" s="29" t="s">
        <v>76</v>
      </c>
      <c r="AC5" s="30" t="s">
        <v>81</v>
      </c>
      <c r="AD5" s="30" t="s">
        <v>77</v>
      </c>
      <c r="AE5" s="30" t="s">
        <v>78</v>
      </c>
      <c r="AF5" s="3" t="s">
        <v>106</v>
      </c>
    </row>
    <row r="6" spans="1:32" ht="14.4" x14ac:dyDescent="0.3">
      <c r="A6" s="7" t="s">
        <v>40</v>
      </c>
      <c r="B6" s="11">
        <f>VLOOKUP(I6,I5:AF44,7,0)</f>
        <v>2.7</v>
      </c>
      <c r="C6" s="11">
        <f>VLOOKUP(I6,I5:AF44,14,0)</f>
        <v>7.6</v>
      </c>
      <c r="D6" s="11">
        <f>VLOOKUP(A6,I5:AF44,18,0)</f>
        <v>4.2</v>
      </c>
      <c r="E6" s="11">
        <f>VLOOKUP(I6,I5:AF44,20,0)</f>
        <v>8.9</v>
      </c>
      <c r="F6" s="11">
        <f>VLOOKUP(A6,I5:AF44,22,0)</f>
        <v>4.2</v>
      </c>
      <c r="I6" s="1" t="s">
        <v>40</v>
      </c>
      <c r="J6" s="1">
        <v>20000</v>
      </c>
      <c r="K6" s="1" t="s">
        <v>5</v>
      </c>
      <c r="L6" s="23">
        <v>0</v>
      </c>
      <c r="M6" s="1" t="s">
        <v>6</v>
      </c>
      <c r="N6" s="23">
        <v>0.99998842592592596</v>
      </c>
      <c r="O6" s="1">
        <v>2.7</v>
      </c>
      <c r="P6" s="1">
        <v>3.6</v>
      </c>
      <c r="Q6" s="1">
        <v>4.2</v>
      </c>
      <c r="R6" s="1">
        <v>-1</v>
      </c>
      <c r="S6" s="1">
        <v>-1</v>
      </c>
      <c r="T6" s="1">
        <v>-1</v>
      </c>
      <c r="U6" s="1">
        <v>5.3</v>
      </c>
      <c r="V6" s="1">
        <v>7.6</v>
      </c>
      <c r="W6" s="1">
        <v>8.9</v>
      </c>
      <c r="X6" s="1">
        <v>2.7</v>
      </c>
      <c r="Y6" s="1">
        <v>3.6</v>
      </c>
      <c r="Z6" s="1">
        <v>4.2</v>
      </c>
      <c r="AA6" s="1">
        <v>7.6</v>
      </c>
      <c r="AB6" s="1">
        <v>8.9</v>
      </c>
      <c r="AC6" s="1">
        <v>3.6</v>
      </c>
      <c r="AD6" s="1">
        <v>4.2</v>
      </c>
      <c r="AE6" s="1">
        <v>4.2</v>
      </c>
      <c r="AF6" s="26">
        <v>45051</v>
      </c>
    </row>
    <row r="7" spans="1:32" ht="14.4" x14ac:dyDescent="0.3">
      <c r="A7" s="7" t="s">
        <v>4</v>
      </c>
      <c r="B7" s="11">
        <f t="shared" ref="B7:B27" si="0">VLOOKUP(I7,I6:AF45,7,0)</f>
        <v>2.7</v>
      </c>
      <c r="C7" s="11">
        <f t="shared" ref="C7:C27" si="1">VLOOKUP(I7,I6:AF45,14,0)</f>
        <v>7.6</v>
      </c>
      <c r="D7" s="11">
        <f t="shared" ref="D7:D27" si="2">VLOOKUP(A7,I6:AF45,18,0)</f>
        <v>4.2</v>
      </c>
      <c r="E7" s="11">
        <f t="shared" ref="E7:E27" si="3">VLOOKUP(I7,I6:AF45,20,0)</f>
        <v>8.9</v>
      </c>
      <c r="F7" s="11">
        <f t="shared" ref="F7:F27" si="4">VLOOKUP(A7,I6:AF45,22,0)</f>
        <v>4.2</v>
      </c>
      <c r="I7" s="1" t="s">
        <v>4</v>
      </c>
      <c r="J7" s="1">
        <v>20002</v>
      </c>
      <c r="K7" s="1" t="s">
        <v>5</v>
      </c>
      <c r="L7" s="23">
        <v>0</v>
      </c>
      <c r="M7" s="1" t="s">
        <v>6</v>
      </c>
      <c r="N7" s="23">
        <v>0.99998842592592596</v>
      </c>
      <c r="O7" s="1">
        <v>2.7</v>
      </c>
      <c r="P7" s="1">
        <v>3.6</v>
      </c>
      <c r="Q7" s="1">
        <v>4.2</v>
      </c>
      <c r="R7" s="1">
        <v>-1</v>
      </c>
      <c r="S7" s="1">
        <v>-1</v>
      </c>
      <c r="T7" s="1">
        <v>-1</v>
      </c>
      <c r="U7" s="1">
        <v>5.3</v>
      </c>
      <c r="V7" s="1">
        <v>7.6</v>
      </c>
      <c r="W7" s="1">
        <v>8.9</v>
      </c>
      <c r="X7" s="1">
        <v>2.7</v>
      </c>
      <c r="Y7" s="1">
        <v>3.6</v>
      </c>
      <c r="Z7" s="1">
        <v>4.2</v>
      </c>
      <c r="AA7" s="1">
        <v>7.6</v>
      </c>
      <c r="AB7" s="1">
        <v>8.9</v>
      </c>
      <c r="AC7" s="1">
        <v>3.6</v>
      </c>
      <c r="AD7" s="1">
        <v>4.2</v>
      </c>
      <c r="AE7" s="1">
        <v>4.2</v>
      </c>
      <c r="AF7" s="26">
        <v>45048</v>
      </c>
    </row>
    <row r="8" spans="1:32" ht="14.4" x14ac:dyDescent="0.3">
      <c r="A8" s="7" t="s">
        <v>7</v>
      </c>
      <c r="B8" s="11">
        <f t="shared" si="0"/>
        <v>3.6</v>
      </c>
      <c r="C8" s="11">
        <f t="shared" si="1"/>
        <v>11.1</v>
      </c>
      <c r="D8" s="11">
        <f t="shared" si="2"/>
        <v>5.8</v>
      </c>
      <c r="E8" s="11">
        <f t="shared" si="3"/>
        <v>12.2</v>
      </c>
      <c r="F8" s="11">
        <f t="shared" si="4"/>
        <v>5.8</v>
      </c>
      <c r="I8" s="1" t="s">
        <v>7</v>
      </c>
      <c r="J8" s="1">
        <v>20004</v>
      </c>
      <c r="K8" s="1" t="s">
        <v>5</v>
      </c>
      <c r="L8" s="23">
        <v>0</v>
      </c>
      <c r="M8" s="1" t="s">
        <v>6</v>
      </c>
      <c r="N8" s="23">
        <v>0.99998842592592596</v>
      </c>
      <c r="O8" s="1">
        <v>3.6</v>
      </c>
      <c r="P8" s="1">
        <v>5.4</v>
      </c>
      <c r="Q8" s="1">
        <v>5.8</v>
      </c>
      <c r="R8" s="1">
        <v>-1</v>
      </c>
      <c r="S8" s="1">
        <v>-1</v>
      </c>
      <c r="T8" s="1">
        <v>-1</v>
      </c>
      <c r="U8" s="1">
        <v>7.6</v>
      </c>
      <c r="V8" s="1">
        <v>11.1</v>
      </c>
      <c r="W8" s="1">
        <v>12.2</v>
      </c>
      <c r="X8" s="1">
        <v>3.6</v>
      </c>
      <c r="Y8" s="1">
        <v>5.4</v>
      </c>
      <c r="Z8" s="1">
        <v>5.8</v>
      </c>
      <c r="AA8" s="1">
        <v>11.1</v>
      </c>
      <c r="AB8" s="1">
        <v>12.2</v>
      </c>
      <c r="AC8" s="1">
        <v>5.4</v>
      </c>
      <c r="AD8" s="1">
        <v>5.8</v>
      </c>
      <c r="AE8" s="1">
        <v>5.8</v>
      </c>
      <c r="AF8" s="26">
        <v>45055</v>
      </c>
    </row>
    <row r="9" spans="1:32" ht="14.4" x14ac:dyDescent="0.3">
      <c r="A9" s="7" t="s">
        <v>8</v>
      </c>
      <c r="B9" s="11">
        <f t="shared" si="0"/>
        <v>4.9000000000000004</v>
      </c>
      <c r="C9" s="11">
        <f t="shared" si="1"/>
        <v>13.3</v>
      </c>
      <c r="D9" s="11">
        <f t="shared" si="2"/>
        <v>8.1</v>
      </c>
      <c r="E9" s="11">
        <f t="shared" si="3"/>
        <v>17</v>
      </c>
      <c r="F9" s="11">
        <f t="shared" si="4"/>
        <v>8.1</v>
      </c>
      <c r="I9" s="1" t="s">
        <v>8</v>
      </c>
      <c r="J9" s="1">
        <v>20006</v>
      </c>
      <c r="K9" s="1" t="s">
        <v>5</v>
      </c>
      <c r="L9" s="23">
        <v>0</v>
      </c>
      <c r="M9" s="1" t="s">
        <v>6</v>
      </c>
      <c r="N9" s="23">
        <v>0.99998842592592596</v>
      </c>
      <c r="O9" s="1">
        <v>4.9000000000000004</v>
      </c>
      <c r="P9" s="1">
        <v>6.6</v>
      </c>
      <c r="Q9" s="1">
        <v>8.1</v>
      </c>
      <c r="R9" s="1">
        <v>-1</v>
      </c>
      <c r="S9" s="1">
        <v>-1</v>
      </c>
      <c r="T9" s="1">
        <v>-1</v>
      </c>
      <c r="U9" s="1">
        <v>10</v>
      </c>
      <c r="V9" s="1">
        <v>13.3</v>
      </c>
      <c r="W9" s="1">
        <v>17</v>
      </c>
      <c r="X9" s="1">
        <v>4.9000000000000004</v>
      </c>
      <c r="Y9" s="1">
        <v>6.6</v>
      </c>
      <c r="Z9" s="1">
        <v>8.1</v>
      </c>
      <c r="AA9" s="1">
        <v>13.3</v>
      </c>
      <c r="AB9" s="1">
        <v>17</v>
      </c>
      <c r="AC9" s="1">
        <v>6.6</v>
      </c>
      <c r="AD9" s="1">
        <v>8.1</v>
      </c>
      <c r="AE9" s="1">
        <v>8.1</v>
      </c>
      <c r="AF9" s="26">
        <v>45059</v>
      </c>
    </row>
    <row r="10" spans="1:32" ht="14.4" x14ac:dyDescent="0.3">
      <c r="A10" s="7" t="s">
        <v>11</v>
      </c>
      <c r="B10" s="11">
        <f t="shared" si="0"/>
        <v>6.6</v>
      </c>
      <c r="C10" s="11">
        <f t="shared" si="1"/>
        <v>18</v>
      </c>
      <c r="D10" s="11">
        <f t="shared" si="2"/>
        <v>16.100000000000001</v>
      </c>
      <c r="E10" s="11">
        <f t="shared" si="3"/>
        <v>22.5</v>
      </c>
      <c r="F10" s="11">
        <f t="shared" si="4"/>
        <v>16.100000000000001</v>
      </c>
      <c r="I10" s="1" t="s">
        <v>9</v>
      </c>
      <c r="J10" s="1">
        <v>20008</v>
      </c>
      <c r="K10" s="1" t="s">
        <v>5</v>
      </c>
      <c r="L10" s="23">
        <v>0</v>
      </c>
      <c r="M10" s="1" t="s">
        <v>6</v>
      </c>
      <c r="N10" s="23">
        <v>0.99998842592592596</v>
      </c>
      <c r="O10" s="1">
        <v>6.6</v>
      </c>
      <c r="P10" s="1">
        <v>8.8000000000000007</v>
      </c>
      <c r="Q10" s="1">
        <v>11</v>
      </c>
      <c r="R10" s="1">
        <v>-1</v>
      </c>
      <c r="S10" s="1">
        <v>-1</v>
      </c>
      <c r="T10" s="1">
        <v>-1</v>
      </c>
      <c r="U10" s="1">
        <v>13.3</v>
      </c>
      <c r="V10" s="1">
        <v>18</v>
      </c>
      <c r="W10" s="1">
        <v>22.5</v>
      </c>
      <c r="X10" s="1">
        <v>6.6</v>
      </c>
      <c r="Y10" s="1">
        <v>8.8000000000000007</v>
      </c>
      <c r="Z10" s="1">
        <v>11</v>
      </c>
      <c r="AA10" s="1">
        <v>18</v>
      </c>
      <c r="AB10" s="1">
        <v>22.5</v>
      </c>
      <c r="AC10" s="1">
        <v>8.8000000000000007</v>
      </c>
      <c r="AD10" s="1">
        <v>11</v>
      </c>
      <c r="AE10" s="1">
        <v>11</v>
      </c>
      <c r="AF10" s="26">
        <v>45076</v>
      </c>
    </row>
    <row r="11" spans="1:32" ht="14.4" x14ac:dyDescent="0.3">
      <c r="A11" s="7" t="s">
        <v>12</v>
      </c>
      <c r="B11" s="11">
        <f t="shared" si="0"/>
        <v>7.1</v>
      </c>
      <c r="C11" s="11">
        <f t="shared" si="1"/>
        <v>21.5</v>
      </c>
      <c r="D11" s="11">
        <f t="shared" si="2"/>
        <v>21.3</v>
      </c>
      <c r="E11" s="11">
        <f t="shared" si="3"/>
        <v>26.1</v>
      </c>
      <c r="F11" s="11">
        <f t="shared" si="4"/>
        <v>21.3</v>
      </c>
      <c r="I11" s="1" t="s">
        <v>10</v>
      </c>
      <c r="J11" s="1">
        <v>20010</v>
      </c>
      <c r="K11" s="1" t="s">
        <v>5</v>
      </c>
      <c r="L11" s="23">
        <v>0</v>
      </c>
      <c r="M11" s="1" t="s">
        <v>6</v>
      </c>
      <c r="N11" s="23">
        <v>0.99998842592592596</v>
      </c>
      <c r="O11" s="1">
        <v>7.1</v>
      </c>
      <c r="P11" s="1">
        <v>10.4</v>
      </c>
      <c r="Q11" s="1">
        <v>12.8</v>
      </c>
      <c r="R11" s="1">
        <v>-1</v>
      </c>
      <c r="S11" s="1">
        <v>-1</v>
      </c>
      <c r="T11" s="1">
        <v>-1</v>
      </c>
      <c r="U11" s="1">
        <v>14.4</v>
      </c>
      <c r="V11" s="1">
        <v>21.5</v>
      </c>
      <c r="W11" s="1">
        <v>26.1</v>
      </c>
      <c r="X11" s="1">
        <v>7.1</v>
      </c>
      <c r="Y11" s="1">
        <v>10.4</v>
      </c>
      <c r="Z11" s="1">
        <v>12.8</v>
      </c>
      <c r="AA11" s="1">
        <v>21.5</v>
      </c>
      <c r="AB11" s="1">
        <v>26.1</v>
      </c>
      <c r="AC11" s="1">
        <v>10.4</v>
      </c>
      <c r="AD11" s="1">
        <v>12.8</v>
      </c>
      <c r="AE11" s="1">
        <v>12.8</v>
      </c>
      <c r="AF11" s="26">
        <v>45057</v>
      </c>
    </row>
    <row r="12" spans="1:32" ht="14.4" x14ac:dyDescent="0.3">
      <c r="A12" s="7" t="s">
        <v>14</v>
      </c>
      <c r="B12" s="11">
        <f t="shared" si="0"/>
        <v>9.4</v>
      </c>
      <c r="C12" s="11">
        <f t="shared" si="1"/>
        <v>28.3</v>
      </c>
      <c r="D12" s="11">
        <f t="shared" si="2"/>
        <v>33.799999999999997</v>
      </c>
      <c r="E12" s="11">
        <f t="shared" si="3"/>
        <v>32.799999999999997</v>
      </c>
      <c r="F12" s="11">
        <f t="shared" si="4"/>
        <v>33.799999999999997</v>
      </c>
      <c r="I12" s="1" t="s">
        <v>11</v>
      </c>
      <c r="J12" s="1">
        <v>20012</v>
      </c>
      <c r="K12" s="1" t="s">
        <v>5</v>
      </c>
      <c r="L12" s="23">
        <v>0</v>
      </c>
      <c r="M12" s="1" t="s">
        <v>6</v>
      </c>
      <c r="N12" s="23">
        <v>0.99998842592592596</v>
      </c>
      <c r="O12" s="1">
        <v>9.4</v>
      </c>
      <c r="P12" s="1">
        <v>13.8</v>
      </c>
      <c r="Q12" s="1">
        <v>16.100000000000001</v>
      </c>
      <c r="R12" s="1">
        <v>-1</v>
      </c>
      <c r="S12" s="1">
        <v>-1</v>
      </c>
      <c r="T12" s="1">
        <v>-1</v>
      </c>
      <c r="U12" s="1">
        <v>19.2</v>
      </c>
      <c r="V12" s="1">
        <v>28.3</v>
      </c>
      <c r="W12" s="1">
        <v>32.799999999999997</v>
      </c>
      <c r="X12" s="1">
        <v>9.4</v>
      </c>
      <c r="Y12" s="1">
        <v>13.8</v>
      </c>
      <c r="Z12" s="1">
        <v>16.100000000000001</v>
      </c>
      <c r="AA12" s="1">
        <v>28.3</v>
      </c>
      <c r="AB12" s="1">
        <v>32.799999999999997</v>
      </c>
      <c r="AC12" s="1">
        <v>13.8</v>
      </c>
      <c r="AD12" s="1">
        <v>16.100000000000001</v>
      </c>
      <c r="AE12" s="1">
        <v>16.100000000000001</v>
      </c>
      <c r="AF12" s="26">
        <v>45052</v>
      </c>
    </row>
    <row r="13" spans="1:32" ht="14.4" x14ac:dyDescent="0.3">
      <c r="A13" s="7" t="s">
        <v>15</v>
      </c>
      <c r="B13" s="11">
        <f t="shared" si="0"/>
        <v>11.6</v>
      </c>
      <c r="C13" s="11">
        <f t="shared" si="1"/>
        <v>35.200000000000003</v>
      </c>
      <c r="D13" s="11">
        <f t="shared" si="2"/>
        <v>0</v>
      </c>
      <c r="E13" s="11">
        <f t="shared" si="3"/>
        <v>43</v>
      </c>
      <c r="F13" s="11">
        <f t="shared" si="4"/>
        <v>0</v>
      </c>
      <c r="I13" s="1" t="s">
        <v>12</v>
      </c>
      <c r="J13" s="1">
        <v>20014</v>
      </c>
      <c r="K13" s="1" t="s">
        <v>5</v>
      </c>
      <c r="L13" s="23">
        <v>0</v>
      </c>
      <c r="M13" s="1" t="s">
        <v>6</v>
      </c>
      <c r="N13" s="23">
        <v>0.99998842592592596</v>
      </c>
      <c r="O13" s="1">
        <v>11.6</v>
      </c>
      <c r="P13" s="1">
        <v>17.3</v>
      </c>
      <c r="Q13" s="1">
        <v>21.3</v>
      </c>
      <c r="R13" s="1">
        <v>-1</v>
      </c>
      <c r="S13" s="1">
        <v>-1</v>
      </c>
      <c r="T13" s="1">
        <v>-1</v>
      </c>
      <c r="U13" s="1">
        <v>23.6</v>
      </c>
      <c r="V13" s="1">
        <v>35.200000000000003</v>
      </c>
      <c r="W13" s="1">
        <v>43</v>
      </c>
      <c r="X13" s="1">
        <v>11.6</v>
      </c>
      <c r="Y13" s="1">
        <v>17.3</v>
      </c>
      <c r="Z13" s="1">
        <v>21.3</v>
      </c>
      <c r="AA13" s="1">
        <v>35.200000000000003</v>
      </c>
      <c r="AB13" s="1">
        <v>43</v>
      </c>
      <c r="AC13" s="1">
        <v>17.3</v>
      </c>
      <c r="AD13" s="1">
        <v>21.3</v>
      </c>
      <c r="AE13" s="1">
        <v>21.3</v>
      </c>
      <c r="AF13" s="26">
        <v>45098</v>
      </c>
    </row>
    <row r="14" spans="1:32" ht="14.4" x14ac:dyDescent="0.3">
      <c r="A14" s="7" t="s">
        <v>16</v>
      </c>
      <c r="B14" s="11">
        <f t="shared" si="0"/>
        <v>16.100000000000001</v>
      </c>
      <c r="C14" s="11">
        <f t="shared" si="1"/>
        <v>49</v>
      </c>
      <c r="D14" s="11">
        <f t="shared" si="2"/>
        <v>40.1</v>
      </c>
      <c r="E14" s="11">
        <f t="shared" si="3"/>
        <v>59</v>
      </c>
      <c r="F14" s="11">
        <f t="shared" si="4"/>
        <v>40.1</v>
      </c>
      <c r="I14" s="1" t="s">
        <v>13</v>
      </c>
      <c r="J14" s="1">
        <v>20016</v>
      </c>
      <c r="K14" s="1" t="s">
        <v>5</v>
      </c>
      <c r="L14" s="23">
        <v>0</v>
      </c>
      <c r="M14" s="1" t="s">
        <v>6</v>
      </c>
      <c r="N14" s="23">
        <v>0.99998842592592596</v>
      </c>
      <c r="O14" s="1">
        <v>16.100000000000001</v>
      </c>
      <c r="P14" s="1">
        <v>24.1</v>
      </c>
      <c r="Q14" s="1">
        <v>29.1</v>
      </c>
      <c r="R14" s="1">
        <v>-1</v>
      </c>
      <c r="S14" s="1">
        <v>-1</v>
      </c>
      <c r="T14" s="1">
        <v>-1</v>
      </c>
      <c r="U14" s="1">
        <v>32.799999999999997</v>
      </c>
      <c r="V14" s="1">
        <v>49</v>
      </c>
      <c r="W14" s="1">
        <v>59</v>
      </c>
      <c r="X14" s="1">
        <v>16.100000000000001</v>
      </c>
      <c r="Y14" s="1">
        <v>24.1</v>
      </c>
      <c r="Z14" s="1">
        <v>29.1</v>
      </c>
      <c r="AA14" s="1">
        <v>49</v>
      </c>
      <c r="AB14" s="1">
        <v>59</v>
      </c>
      <c r="AC14" s="1">
        <v>24.1</v>
      </c>
      <c r="AD14" s="1">
        <v>29.1</v>
      </c>
      <c r="AE14" s="1">
        <v>29.1</v>
      </c>
      <c r="AF14" s="26">
        <v>45092</v>
      </c>
    </row>
    <row r="15" spans="1:32" ht="14.4" x14ac:dyDescent="0.3">
      <c r="A15" s="7" t="s">
        <v>18</v>
      </c>
      <c r="B15" s="11">
        <f t="shared" si="0"/>
        <v>18.399999999999999</v>
      </c>
      <c r="C15" s="11">
        <f t="shared" si="1"/>
        <v>55.6</v>
      </c>
      <c r="D15" s="11">
        <f t="shared" si="2"/>
        <v>47.9</v>
      </c>
      <c r="E15" s="11">
        <f t="shared" si="3"/>
        <v>67.900000000000006</v>
      </c>
      <c r="F15" s="11">
        <f t="shared" si="4"/>
        <v>47.9</v>
      </c>
      <c r="I15" s="1" t="s">
        <v>14</v>
      </c>
      <c r="J15" s="1">
        <v>20018</v>
      </c>
      <c r="K15" s="1" t="s">
        <v>5</v>
      </c>
      <c r="L15" s="23">
        <v>0</v>
      </c>
      <c r="M15" s="1" t="s">
        <v>6</v>
      </c>
      <c r="N15" s="23">
        <v>0.99998842592592596</v>
      </c>
      <c r="O15" s="1">
        <v>18.399999999999999</v>
      </c>
      <c r="P15" s="1">
        <v>27.5</v>
      </c>
      <c r="Q15" s="1">
        <v>33.799999999999997</v>
      </c>
      <c r="R15" s="1">
        <v>-1</v>
      </c>
      <c r="S15" s="1">
        <v>-1</v>
      </c>
      <c r="T15" s="1">
        <v>-1</v>
      </c>
      <c r="U15" s="1">
        <v>37.200000000000003</v>
      </c>
      <c r="V15" s="1">
        <v>55.6</v>
      </c>
      <c r="W15" s="1">
        <v>67.900000000000006</v>
      </c>
      <c r="X15" s="1">
        <v>18.399999999999999</v>
      </c>
      <c r="Y15" s="1">
        <v>27.5</v>
      </c>
      <c r="Z15" s="1">
        <v>33.799999999999997</v>
      </c>
      <c r="AA15" s="1">
        <v>55.6</v>
      </c>
      <c r="AB15" s="1">
        <v>67.900000000000006</v>
      </c>
      <c r="AC15" s="1">
        <v>27.5</v>
      </c>
      <c r="AD15" s="1">
        <v>33.799999999999997</v>
      </c>
      <c r="AE15" s="1">
        <v>33.799999999999997</v>
      </c>
      <c r="AF15" s="26">
        <v>45104</v>
      </c>
    </row>
    <row r="16" spans="1:32" ht="14.4" x14ac:dyDescent="0.3">
      <c r="A16" s="7" t="s">
        <v>20</v>
      </c>
      <c r="B16" s="11">
        <f t="shared" si="0"/>
        <v>0</v>
      </c>
      <c r="C16" s="11">
        <f t="shared" si="1"/>
        <v>0</v>
      </c>
      <c r="D16" s="11">
        <f t="shared" si="2"/>
        <v>52.3</v>
      </c>
      <c r="E16" s="11">
        <f t="shared" si="3"/>
        <v>0</v>
      </c>
      <c r="F16" s="11">
        <f t="shared" si="4"/>
        <v>52.3</v>
      </c>
      <c r="I16" s="1" t="s">
        <v>15</v>
      </c>
      <c r="J16" s="1">
        <v>20020</v>
      </c>
      <c r="K16" s="1" t="s">
        <v>5</v>
      </c>
      <c r="L16" s="23">
        <v>0</v>
      </c>
      <c r="M16" s="1" t="s">
        <v>6</v>
      </c>
      <c r="N16" s="23">
        <v>0.99998842592592596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26">
        <v>45116</v>
      </c>
    </row>
    <row r="17" spans="1:32" ht="14.4" x14ac:dyDescent="0.3">
      <c r="A17" s="7" t="s">
        <v>22</v>
      </c>
      <c r="B17" s="11">
        <f t="shared" si="0"/>
        <v>21.9</v>
      </c>
      <c r="C17" s="11">
        <f t="shared" si="1"/>
        <v>61.5</v>
      </c>
      <c r="D17" s="11">
        <f t="shared" si="2"/>
        <v>57</v>
      </c>
      <c r="E17" s="11">
        <f t="shared" si="3"/>
        <v>76.599999999999994</v>
      </c>
      <c r="F17" s="11">
        <f t="shared" si="4"/>
        <v>57</v>
      </c>
      <c r="I17" s="1" t="s">
        <v>16</v>
      </c>
      <c r="J17" s="1">
        <v>20022</v>
      </c>
      <c r="K17" s="1" t="s">
        <v>5</v>
      </c>
      <c r="L17" s="23">
        <v>0</v>
      </c>
      <c r="M17" s="1" t="s">
        <v>6</v>
      </c>
      <c r="N17" s="23">
        <v>0.99998842592592596</v>
      </c>
      <c r="O17" s="1">
        <v>21.9</v>
      </c>
      <c r="P17" s="1">
        <v>32.1</v>
      </c>
      <c r="Q17" s="1">
        <v>40.1</v>
      </c>
      <c r="R17" s="1">
        <v>-1</v>
      </c>
      <c r="S17" s="1">
        <v>-1</v>
      </c>
      <c r="T17" s="1">
        <v>-1</v>
      </c>
      <c r="U17" s="1">
        <v>42.3</v>
      </c>
      <c r="V17" s="1">
        <v>61.5</v>
      </c>
      <c r="W17" s="1">
        <v>76.599999999999994</v>
      </c>
      <c r="X17" s="1">
        <v>21.9</v>
      </c>
      <c r="Y17" s="1">
        <v>32.1</v>
      </c>
      <c r="Z17" s="1">
        <v>40.1</v>
      </c>
      <c r="AA17" s="1">
        <v>61.5</v>
      </c>
      <c r="AB17" s="1">
        <v>76.599999999999994</v>
      </c>
      <c r="AC17" s="1">
        <v>32.1</v>
      </c>
      <c r="AD17" s="1">
        <v>40.1</v>
      </c>
      <c r="AE17" s="1">
        <v>40.1</v>
      </c>
      <c r="AF17" s="26">
        <v>45110</v>
      </c>
    </row>
    <row r="18" spans="1:32" ht="14.4" x14ac:dyDescent="0.3">
      <c r="A18" s="7" t="s">
        <v>23</v>
      </c>
      <c r="B18" s="11">
        <f t="shared" si="0"/>
        <v>23.5</v>
      </c>
      <c r="C18" s="11">
        <f t="shared" si="1"/>
        <v>70.8</v>
      </c>
      <c r="D18" s="11">
        <f t="shared" si="2"/>
        <v>61.4</v>
      </c>
      <c r="E18" s="11">
        <f t="shared" si="3"/>
        <v>86.6</v>
      </c>
      <c r="F18" s="11">
        <f t="shared" si="4"/>
        <v>61.4</v>
      </c>
      <c r="I18" s="1" t="s">
        <v>17</v>
      </c>
      <c r="J18" s="1">
        <v>20024</v>
      </c>
      <c r="K18" s="1" t="s">
        <v>5</v>
      </c>
      <c r="L18" s="23">
        <v>0</v>
      </c>
      <c r="M18" s="1" t="s">
        <v>6</v>
      </c>
      <c r="N18" s="23">
        <v>0.99998842592592596</v>
      </c>
      <c r="O18" s="1">
        <v>23.5</v>
      </c>
      <c r="P18" s="1">
        <v>34.700000000000003</v>
      </c>
      <c r="Q18" s="1">
        <v>42.7</v>
      </c>
      <c r="R18" s="1">
        <v>-1</v>
      </c>
      <c r="S18" s="1">
        <v>-1</v>
      </c>
      <c r="T18" s="1">
        <v>-1</v>
      </c>
      <c r="U18" s="1">
        <v>47.7</v>
      </c>
      <c r="V18" s="1">
        <v>70.8</v>
      </c>
      <c r="W18" s="1">
        <v>86.6</v>
      </c>
      <c r="X18" s="1">
        <v>23.5</v>
      </c>
      <c r="Y18" s="1">
        <v>34.700000000000003</v>
      </c>
      <c r="Z18" s="1">
        <v>42.7</v>
      </c>
      <c r="AA18" s="1">
        <v>70.8</v>
      </c>
      <c r="AB18" s="1">
        <v>86.6</v>
      </c>
      <c r="AC18" s="1">
        <v>34.700000000000003</v>
      </c>
      <c r="AD18" s="1">
        <v>42.7</v>
      </c>
      <c r="AE18" s="1">
        <v>42.7</v>
      </c>
      <c r="AF18" s="26">
        <v>45095</v>
      </c>
    </row>
    <row r="19" spans="1:32" ht="14.4" x14ac:dyDescent="0.3">
      <c r="A19" s="7" t="s">
        <v>24</v>
      </c>
      <c r="B19" s="11">
        <f t="shared" si="0"/>
        <v>26.8</v>
      </c>
      <c r="C19" s="11">
        <f t="shared" si="1"/>
        <v>79.599999999999994</v>
      </c>
      <c r="D19" s="11">
        <f t="shared" si="2"/>
        <v>63.6</v>
      </c>
      <c r="E19" s="11">
        <f t="shared" si="3"/>
        <v>96.8</v>
      </c>
      <c r="F19" s="11">
        <f t="shared" si="4"/>
        <v>63.6</v>
      </c>
      <c r="I19" s="1" t="s">
        <v>18</v>
      </c>
      <c r="J19" s="1">
        <v>20026</v>
      </c>
      <c r="K19" s="1" t="s">
        <v>5</v>
      </c>
      <c r="L19" s="23">
        <v>0</v>
      </c>
      <c r="M19" s="1" t="s">
        <v>6</v>
      </c>
      <c r="N19" s="23">
        <v>0.99998842592592596</v>
      </c>
      <c r="O19" s="1">
        <v>26.8</v>
      </c>
      <c r="P19" s="1">
        <v>39.299999999999997</v>
      </c>
      <c r="Q19" s="1">
        <v>47.9</v>
      </c>
      <c r="R19" s="1">
        <v>-1</v>
      </c>
      <c r="S19" s="1">
        <v>-1</v>
      </c>
      <c r="T19" s="1">
        <v>-1</v>
      </c>
      <c r="U19" s="1">
        <v>54.6</v>
      </c>
      <c r="V19" s="1">
        <v>79.599999999999994</v>
      </c>
      <c r="W19" s="1">
        <v>96.8</v>
      </c>
      <c r="X19" s="1">
        <v>26.8</v>
      </c>
      <c r="Y19" s="1">
        <v>39.299999999999997</v>
      </c>
      <c r="Z19" s="1">
        <v>47.9</v>
      </c>
      <c r="AA19" s="1">
        <v>79.599999999999994</v>
      </c>
      <c r="AB19" s="1">
        <v>96.8</v>
      </c>
      <c r="AC19" s="1">
        <v>39.299999999999997</v>
      </c>
      <c r="AD19" s="1">
        <v>47.9</v>
      </c>
      <c r="AE19" s="1">
        <v>47.9</v>
      </c>
      <c r="AF19" s="26">
        <v>45113</v>
      </c>
    </row>
    <row r="20" spans="1:32" ht="14.4" x14ac:dyDescent="0.3">
      <c r="A20" s="7" t="s">
        <v>28</v>
      </c>
      <c r="B20" s="11">
        <f t="shared" si="0"/>
        <v>28</v>
      </c>
      <c r="C20" s="11">
        <f t="shared" si="1"/>
        <v>83.2</v>
      </c>
      <c r="D20" s="11">
        <f t="shared" si="2"/>
        <v>0</v>
      </c>
      <c r="E20" s="11">
        <f t="shared" si="3"/>
        <v>101.3</v>
      </c>
      <c r="F20" s="11">
        <f t="shared" si="4"/>
        <v>0</v>
      </c>
      <c r="I20" s="1" t="s">
        <v>19</v>
      </c>
      <c r="J20" s="1">
        <v>20028</v>
      </c>
      <c r="K20" s="1" t="s">
        <v>5</v>
      </c>
      <c r="L20" s="23">
        <v>0</v>
      </c>
      <c r="M20" s="1" t="s">
        <v>6</v>
      </c>
      <c r="N20" s="23">
        <v>0.99998842592592596</v>
      </c>
      <c r="O20" s="1">
        <v>28</v>
      </c>
      <c r="P20" s="1">
        <v>41</v>
      </c>
      <c r="Q20" s="1">
        <v>50.1</v>
      </c>
      <c r="R20" s="1">
        <v>-1</v>
      </c>
      <c r="S20" s="1">
        <v>-1</v>
      </c>
      <c r="T20" s="1">
        <v>-1</v>
      </c>
      <c r="U20" s="1">
        <v>56.7</v>
      </c>
      <c r="V20" s="1">
        <v>83.2</v>
      </c>
      <c r="W20" s="1">
        <v>101.3</v>
      </c>
      <c r="X20" s="1">
        <v>28</v>
      </c>
      <c r="Y20" s="1">
        <v>41</v>
      </c>
      <c r="Z20" s="1">
        <v>50.1</v>
      </c>
      <c r="AA20" s="1">
        <v>83.2</v>
      </c>
      <c r="AB20" s="1">
        <v>101.3</v>
      </c>
      <c r="AC20" s="1">
        <v>41</v>
      </c>
      <c r="AD20" s="1">
        <v>50.1</v>
      </c>
      <c r="AE20" s="1">
        <v>50.1</v>
      </c>
      <c r="AF20" s="26">
        <v>45063</v>
      </c>
    </row>
    <row r="21" spans="1:32" ht="14.4" x14ac:dyDescent="0.3">
      <c r="A21" s="7" t="s">
        <v>57</v>
      </c>
      <c r="B21" s="11">
        <f t="shared" si="0"/>
        <v>28.5</v>
      </c>
      <c r="C21" s="11">
        <f t="shared" si="1"/>
        <v>85.4</v>
      </c>
      <c r="D21" s="11">
        <f t="shared" si="2"/>
        <v>75</v>
      </c>
      <c r="E21" s="11">
        <f t="shared" si="3"/>
        <v>106.1</v>
      </c>
      <c r="F21" s="11">
        <f t="shared" si="4"/>
        <v>75</v>
      </c>
      <c r="I21" s="1" t="s">
        <v>20</v>
      </c>
      <c r="J21" s="1">
        <v>20030</v>
      </c>
      <c r="K21" s="1" t="s">
        <v>5</v>
      </c>
      <c r="L21" s="23">
        <v>0</v>
      </c>
      <c r="M21" s="1" t="s">
        <v>6</v>
      </c>
      <c r="N21" s="23">
        <v>0.99998842592592596</v>
      </c>
      <c r="O21" s="1">
        <v>28.5</v>
      </c>
      <c r="P21" s="1">
        <v>42.3</v>
      </c>
      <c r="Q21" s="1">
        <v>52.3</v>
      </c>
      <c r="R21" s="1">
        <v>-1</v>
      </c>
      <c r="S21" s="1">
        <v>-1</v>
      </c>
      <c r="T21" s="1">
        <v>-1</v>
      </c>
      <c r="U21" s="1">
        <v>58.3</v>
      </c>
      <c r="V21" s="1">
        <v>85.4</v>
      </c>
      <c r="W21" s="1">
        <v>106.1</v>
      </c>
      <c r="X21" s="1">
        <v>28.5</v>
      </c>
      <c r="Y21" s="1">
        <v>42.3</v>
      </c>
      <c r="Z21" s="1">
        <v>52.3</v>
      </c>
      <c r="AA21" s="1">
        <v>85.4</v>
      </c>
      <c r="AB21" s="1">
        <v>106.1</v>
      </c>
      <c r="AC21" s="1">
        <v>42.3</v>
      </c>
      <c r="AD21" s="1">
        <v>52.3</v>
      </c>
      <c r="AE21" s="1">
        <v>52.3</v>
      </c>
      <c r="AF21" s="26">
        <v>45071</v>
      </c>
    </row>
    <row r="22" spans="1:32" ht="14.4" x14ac:dyDescent="0.3">
      <c r="A22" s="7" t="s">
        <v>58</v>
      </c>
      <c r="B22" s="11">
        <f t="shared" si="0"/>
        <v>29.1</v>
      </c>
      <c r="C22" s="11">
        <f t="shared" si="1"/>
        <v>87.6</v>
      </c>
      <c r="D22" s="11">
        <f t="shared" si="2"/>
        <v>-1</v>
      </c>
      <c r="E22" s="11">
        <f t="shared" si="3"/>
        <v>108.8</v>
      </c>
      <c r="F22" s="11">
        <f t="shared" si="4"/>
        <v>-1</v>
      </c>
      <c r="I22" s="1" t="s">
        <v>21</v>
      </c>
      <c r="J22" s="1">
        <v>20032</v>
      </c>
      <c r="K22" s="1" t="s">
        <v>5</v>
      </c>
      <c r="L22" s="23">
        <v>0</v>
      </c>
      <c r="M22" s="1" t="s">
        <v>6</v>
      </c>
      <c r="N22" s="23">
        <v>0.99998842592592596</v>
      </c>
      <c r="O22" s="1">
        <v>29.1</v>
      </c>
      <c r="P22" s="1">
        <v>43.3</v>
      </c>
      <c r="Q22" s="1">
        <v>53.7</v>
      </c>
      <c r="R22" s="1">
        <v>-1</v>
      </c>
      <c r="S22" s="1">
        <v>-1</v>
      </c>
      <c r="T22" s="1">
        <v>-1</v>
      </c>
      <c r="U22" s="1">
        <v>59</v>
      </c>
      <c r="V22" s="1">
        <v>87.6</v>
      </c>
      <c r="W22" s="1">
        <v>108.8</v>
      </c>
      <c r="X22" s="1">
        <v>29.1</v>
      </c>
      <c r="Y22" s="1">
        <v>43.3</v>
      </c>
      <c r="Z22" s="1">
        <v>53.7</v>
      </c>
      <c r="AA22" s="1">
        <v>87.6</v>
      </c>
      <c r="AB22" s="1">
        <v>108.8</v>
      </c>
      <c r="AC22" s="1">
        <v>43.3</v>
      </c>
      <c r="AD22" s="1">
        <v>53.7</v>
      </c>
      <c r="AE22" s="1">
        <v>53.7</v>
      </c>
      <c r="AF22" s="26">
        <v>45085</v>
      </c>
    </row>
    <row r="23" spans="1:32" ht="14.4" x14ac:dyDescent="0.3">
      <c r="A23" s="7" t="s">
        <v>31</v>
      </c>
      <c r="B23" s="11">
        <f t="shared" si="0"/>
        <v>30.7</v>
      </c>
      <c r="C23" s="11">
        <f t="shared" si="1"/>
        <v>92.1</v>
      </c>
      <c r="D23" s="11">
        <f t="shared" si="2"/>
        <v>79.400000000000006</v>
      </c>
      <c r="E23" s="11">
        <f t="shared" si="3"/>
        <v>115.1</v>
      </c>
      <c r="F23" s="11">
        <f t="shared" si="4"/>
        <v>79.400000000000006</v>
      </c>
      <c r="I23" s="1" t="s">
        <v>22</v>
      </c>
      <c r="J23" s="1">
        <v>20034</v>
      </c>
      <c r="K23" s="1" t="s">
        <v>5</v>
      </c>
      <c r="L23" s="23">
        <v>0</v>
      </c>
      <c r="M23" s="1" t="s">
        <v>6</v>
      </c>
      <c r="N23" s="23">
        <v>0.99998842592592596</v>
      </c>
      <c r="O23" s="1">
        <v>30.7</v>
      </c>
      <c r="P23" s="1">
        <v>45.5</v>
      </c>
      <c r="Q23" s="1">
        <v>57</v>
      </c>
      <c r="R23" s="1">
        <v>-1</v>
      </c>
      <c r="S23" s="1">
        <v>-1</v>
      </c>
      <c r="T23" s="1">
        <v>-1</v>
      </c>
      <c r="U23" s="1">
        <v>62.5</v>
      </c>
      <c r="V23" s="1">
        <v>92.1</v>
      </c>
      <c r="W23" s="1">
        <v>115.1</v>
      </c>
      <c r="X23" s="1">
        <v>30.7</v>
      </c>
      <c r="Y23" s="1">
        <v>45.5</v>
      </c>
      <c r="Z23" s="1">
        <v>57</v>
      </c>
      <c r="AA23" s="1">
        <v>92.1</v>
      </c>
      <c r="AB23" s="1">
        <v>115.1</v>
      </c>
      <c r="AC23" s="1">
        <v>45.5</v>
      </c>
      <c r="AD23" s="1">
        <v>57</v>
      </c>
      <c r="AE23" s="1">
        <v>57</v>
      </c>
      <c r="AF23" s="26">
        <v>45099</v>
      </c>
    </row>
    <row r="24" spans="1:32" ht="14.4" x14ac:dyDescent="0.3">
      <c r="A24" s="7" t="s">
        <v>32</v>
      </c>
      <c r="B24" s="11">
        <f t="shared" si="0"/>
        <v>33.799999999999997</v>
      </c>
      <c r="C24" s="11">
        <f t="shared" si="1"/>
        <v>101.3</v>
      </c>
      <c r="D24" s="11">
        <f t="shared" si="2"/>
        <v>-1</v>
      </c>
      <c r="E24" s="11">
        <f t="shared" si="3"/>
        <v>124.4</v>
      </c>
      <c r="F24" s="11">
        <f t="shared" si="4"/>
        <v>-1</v>
      </c>
      <c r="I24" s="1" t="s">
        <v>23</v>
      </c>
      <c r="J24" s="1">
        <v>20036</v>
      </c>
      <c r="K24" s="1" t="s">
        <v>5</v>
      </c>
      <c r="L24" s="23">
        <v>0</v>
      </c>
      <c r="M24" s="1" t="s">
        <v>6</v>
      </c>
      <c r="N24" s="23">
        <v>0.99998842592592596</v>
      </c>
      <c r="O24" s="1">
        <v>33.799999999999997</v>
      </c>
      <c r="P24" s="1">
        <v>50.1</v>
      </c>
      <c r="Q24" s="1">
        <v>61.4</v>
      </c>
      <c r="R24" s="1">
        <v>-1</v>
      </c>
      <c r="S24" s="1">
        <v>-1</v>
      </c>
      <c r="T24" s="1">
        <v>-1</v>
      </c>
      <c r="U24" s="1">
        <v>67.900000000000006</v>
      </c>
      <c r="V24" s="1">
        <v>101.3</v>
      </c>
      <c r="W24" s="1">
        <v>124.4</v>
      </c>
      <c r="X24" s="1">
        <v>33.799999999999997</v>
      </c>
      <c r="Y24" s="1">
        <v>50.1</v>
      </c>
      <c r="Z24" s="1">
        <v>61.4</v>
      </c>
      <c r="AA24" s="1">
        <v>101.3</v>
      </c>
      <c r="AB24" s="1">
        <v>124.4</v>
      </c>
      <c r="AC24" s="1">
        <v>50.1</v>
      </c>
      <c r="AD24" s="1">
        <v>61.4</v>
      </c>
      <c r="AE24" s="1">
        <v>61.4</v>
      </c>
      <c r="AF24" s="26">
        <v>45091</v>
      </c>
    </row>
    <row r="25" spans="1:32" ht="14.4" x14ac:dyDescent="0.3">
      <c r="A25" s="7" t="s">
        <v>34</v>
      </c>
      <c r="B25" s="11">
        <f t="shared" si="0"/>
        <v>34.700000000000003</v>
      </c>
      <c r="C25" s="11">
        <f t="shared" si="1"/>
        <v>106.1</v>
      </c>
      <c r="D25" s="11">
        <f t="shared" si="2"/>
        <v>79.400000000000006</v>
      </c>
      <c r="E25" s="11">
        <f t="shared" si="3"/>
        <v>128.6</v>
      </c>
      <c r="F25" s="11">
        <f t="shared" si="4"/>
        <v>79.400000000000006</v>
      </c>
      <c r="I25" s="1" t="s">
        <v>24</v>
      </c>
      <c r="J25" s="1">
        <v>20038</v>
      </c>
      <c r="K25" s="1" t="s">
        <v>5</v>
      </c>
      <c r="L25" s="23">
        <v>0</v>
      </c>
      <c r="M25" s="1" t="s">
        <v>6</v>
      </c>
      <c r="N25" s="23">
        <v>0.99998842592592596</v>
      </c>
      <c r="O25" s="1">
        <v>34.700000000000003</v>
      </c>
      <c r="P25" s="1">
        <v>52.3</v>
      </c>
      <c r="Q25" s="1">
        <v>63.6</v>
      </c>
      <c r="R25" s="1">
        <v>-1</v>
      </c>
      <c r="S25" s="1">
        <v>-1</v>
      </c>
      <c r="T25" s="1">
        <v>-1</v>
      </c>
      <c r="U25" s="1">
        <v>70.8</v>
      </c>
      <c r="V25" s="1">
        <v>106.1</v>
      </c>
      <c r="W25" s="1">
        <v>128.6</v>
      </c>
      <c r="X25" s="1">
        <v>34.700000000000003</v>
      </c>
      <c r="Y25" s="1">
        <v>52.3</v>
      </c>
      <c r="Z25" s="1">
        <v>63.6</v>
      </c>
      <c r="AA25" s="1">
        <v>106.1</v>
      </c>
      <c r="AB25" s="1">
        <v>128.6</v>
      </c>
      <c r="AC25" s="1">
        <v>52.3</v>
      </c>
      <c r="AD25" s="1">
        <v>63.6</v>
      </c>
      <c r="AE25" s="1">
        <v>63.6</v>
      </c>
      <c r="AF25" s="26">
        <v>45079</v>
      </c>
    </row>
    <row r="26" spans="1:32" ht="14.4" x14ac:dyDescent="0.3">
      <c r="A26" s="7" t="s">
        <v>37</v>
      </c>
      <c r="B26" s="11">
        <f t="shared" si="0"/>
        <v>36.5</v>
      </c>
      <c r="C26" s="11">
        <f t="shared" si="1"/>
        <v>110.3</v>
      </c>
      <c r="D26" s="11">
        <f t="shared" si="2"/>
        <v>90.9</v>
      </c>
      <c r="E26" s="11">
        <f t="shared" si="3"/>
        <v>133.4</v>
      </c>
      <c r="F26" s="11">
        <f t="shared" si="4"/>
        <v>90.9</v>
      </c>
      <c r="I26" s="1" t="s">
        <v>25</v>
      </c>
      <c r="J26" s="1">
        <v>20040</v>
      </c>
      <c r="K26" s="1" t="s">
        <v>5</v>
      </c>
      <c r="L26" s="23">
        <v>0</v>
      </c>
      <c r="M26" s="1" t="s">
        <v>6</v>
      </c>
      <c r="N26" s="23">
        <v>0.99998842592592596</v>
      </c>
      <c r="O26" s="1">
        <v>36.5</v>
      </c>
      <c r="P26" s="1">
        <v>54.6</v>
      </c>
      <c r="Q26" s="1">
        <v>65.900000000000006</v>
      </c>
      <c r="R26" s="1">
        <v>-1</v>
      </c>
      <c r="S26" s="1">
        <v>-1</v>
      </c>
      <c r="T26" s="1">
        <v>-1</v>
      </c>
      <c r="U26" s="1">
        <v>73.900000000000006</v>
      </c>
      <c r="V26" s="1">
        <v>110.3</v>
      </c>
      <c r="W26" s="1">
        <v>133.4</v>
      </c>
      <c r="X26" s="1">
        <v>36.5</v>
      </c>
      <c r="Y26" s="1">
        <v>54.6</v>
      </c>
      <c r="Z26" s="1">
        <v>65.900000000000006</v>
      </c>
      <c r="AA26" s="1">
        <v>110.3</v>
      </c>
      <c r="AB26" s="1">
        <v>133.4</v>
      </c>
      <c r="AC26" s="1">
        <v>54.6</v>
      </c>
      <c r="AD26" s="1">
        <v>65.900000000000006</v>
      </c>
      <c r="AE26" s="1">
        <v>65.900000000000006</v>
      </c>
      <c r="AF26" s="26">
        <v>45075</v>
      </c>
    </row>
    <row r="27" spans="1:32" ht="14.4" x14ac:dyDescent="0.3">
      <c r="A27" s="7" t="s">
        <v>39</v>
      </c>
      <c r="B27" s="11">
        <f t="shared" si="0"/>
        <v>38</v>
      </c>
      <c r="C27" s="11">
        <f t="shared" si="1"/>
        <v>115.5</v>
      </c>
      <c r="D27" s="11">
        <f t="shared" si="2"/>
        <v>93.1</v>
      </c>
      <c r="E27" s="11">
        <f t="shared" si="3"/>
        <v>138.80000000000001</v>
      </c>
      <c r="F27" s="11">
        <f t="shared" si="4"/>
        <v>93.1</v>
      </c>
      <c r="I27" s="1" t="s">
        <v>41</v>
      </c>
      <c r="J27" s="1">
        <v>20042</v>
      </c>
      <c r="K27" s="1" t="s">
        <v>5</v>
      </c>
      <c r="L27" s="23">
        <v>0</v>
      </c>
      <c r="M27" s="1" t="s">
        <v>6</v>
      </c>
      <c r="N27" s="23">
        <v>0.99998842592592596</v>
      </c>
      <c r="O27" s="1">
        <v>38</v>
      </c>
      <c r="P27" s="1">
        <v>57.2</v>
      </c>
      <c r="Q27" s="1">
        <v>68.7</v>
      </c>
      <c r="R27" s="1">
        <v>-1</v>
      </c>
      <c r="S27" s="1">
        <v>-1</v>
      </c>
      <c r="T27" s="1">
        <v>-1</v>
      </c>
      <c r="U27" s="1">
        <v>76.599999999999994</v>
      </c>
      <c r="V27" s="1">
        <v>115.5</v>
      </c>
      <c r="W27" s="1">
        <v>138.80000000000001</v>
      </c>
      <c r="X27" s="1">
        <v>38</v>
      </c>
      <c r="Y27" s="1">
        <v>57.2</v>
      </c>
      <c r="Z27" s="1">
        <v>68.7</v>
      </c>
      <c r="AA27" s="1">
        <v>115.5</v>
      </c>
      <c r="AB27" s="1">
        <v>138.80000000000001</v>
      </c>
      <c r="AC27" s="1">
        <v>57.2</v>
      </c>
      <c r="AD27" s="1">
        <v>68.7</v>
      </c>
      <c r="AE27" s="1">
        <v>68.7</v>
      </c>
      <c r="AF27" s="26">
        <v>45110</v>
      </c>
    </row>
    <row r="28" spans="1:32" ht="14.4" x14ac:dyDescent="0.3">
      <c r="A28" s="18" t="s">
        <v>82</v>
      </c>
      <c r="B28" s="31">
        <f>MIN(B6:B27)</f>
        <v>0</v>
      </c>
      <c r="C28" s="31">
        <f>MIN(C6:C27)</f>
        <v>0</v>
      </c>
      <c r="D28" s="31">
        <f>MIN(D6:D27)</f>
        <v>-1</v>
      </c>
      <c r="E28" s="31">
        <f>MIN(E6:E27)</f>
        <v>0</v>
      </c>
      <c r="F28" s="31">
        <f>MIN(F6:F27)</f>
        <v>-1</v>
      </c>
      <c r="I28" s="1" t="s">
        <v>26</v>
      </c>
      <c r="J28" s="1">
        <v>20044</v>
      </c>
      <c r="K28" s="1" t="s">
        <v>5</v>
      </c>
      <c r="L28" s="23">
        <v>0</v>
      </c>
      <c r="M28" s="1" t="s">
        <v>6</v>
      </c>
      <c r="N28" s="23">
        <v>0.99998842592592596</v>
      </c>
      <c r="O28" s="1">
        <v>38.700000000000003</v>
      </c>
      <c r="P28" s="1">
        <v>59.2</v>
      </c>
      <c r="Q28" s="1">
        <v>70.400000000000006</v>
      </c>
      <c r="R28" s="1">
        <v>-1</v>
      </c>
      <c r="S28" s="1">
        <v>-1</v>
      </c>
      <c r="T28" s="1">
        <v>-1</v>
      </c>
      <c r="U28" s="1">
        <v>78.599999999999994</v>
      </c>
      <c r="V28" s="1">
        <v>119.4</v>
      </c>
      <c r="W28" s="1">
        <v>142.5</v>
      </c>
      <c r="X28" s="1">
        <v>38.700000000000003</v>
      </c>
      <c r="Y28" s="1">
        <v>59.2</v>
      </c>
      <c r="Z28" s="1">
        <v>70.400000000000006</v>
      </c>
      <c r="AA28" s="1">
        <v>119.4</v>
      </c>
      <c r="AB28" s="1">
        <v>142.5</v>
      </c>
      <c r="AC28" s="1">
        <v>59.2</v>
      </c>
      <c r="AD28" s="1">
        <v>70.400000000000006</v>
      </c>
      <c r="AE28" s="1">
        <v>70.400000000000006</v>
      </c>
      <c r="AF28" s="26">
        <v>45114</v>
      </c>
    </row>
    <row r="29" spans="1:32" ht="14.4" x14ac:dyDescent="0.3">
      <c r="A29" s="18" t="s">
        <v>83</v>
      </c>
      <c r="B29" s="31">
        <f>MAX(B6:B27)</f>
        <v>38</v>
      </c>
      <c r="C29" s="31">
        <f>MAX(C6:C27)</f>
        <v>115.5</v>
      </c>
      <c r="D29" s="31">
        <f>MAX(D6:D27)</f>
        <v>93.1</v>
      </c>
      <c r="E29" s="31">
        <f>MAX(E6:E27)</f>
        <v>138.80000000000001</v>
      </c>
      <c r="F29" s="31">
        <f>MAX(F6:F27)</f>
        <v>93.1</v>
      </c>
      <c r="I29" s="1" t="s">
        <v>27</v>
      </c>
      <c r="J29" s="1">
        <v>20046</v>
      </c>
      <c r="K29" s="1" t="s">
        <v>5</v>
      </c>
      <c r="L29" s="23">
        <v>0</v>
      </c>
      <c r="M29" s="1" t="s">
        <v>6</v>
      </c>
      <c r="N29" s="23">
        <v>0.99998842592592596</v>
      </c>
      <c r="O29" s="1">
        <v>40.1</v>
      </c>
      <c r="P29" s="1">
        <v>59.2</v>
      </c>
      <c r="Q29" s="1">
        <v>72.8</v>
      </c>
      <c r="R29" s="1">
        <v>-1</v>
      </c>
      <c r="S29" s="1">
        <v>-1</v>
      </c>
      <c r="T29" s="1">
        <v>-1</v>
      </c>
      <c r="U29" s="1">
        <v>80.8</v>
      </c>
      <c r="V29" s="1">
        <v>119.4</v>
      </c>
      <c r="W29" s="1">
        <v>146.80000000000001</v>
      </c>
      <c r="X29" s="1">
        <v>40.1</v>
      </c>
      <c r="Y29" s="1">
        <v>59.2</v>
      </c>
      <c r="Z29" s="1">
        <v>72.8</v>
      </c>
      <c r="AA29" s="1">
        <v>119.4</v>
      </c>
      <c r="AB29" s="1">
        <v>146.80000000000001</v>
      </c>
      <c r="AC29" s="1">
        <v>59.2</v>
      </c>
      <c r="AD29" s="1">
        <v>72.8</v>
      </c>
      <c r="AE29" s="1">
        <v>72.8</v>
      </c>
      <c r="AF29" s="26">
        <v>45118</v>
      </c>
    </row>
    <row r="30" spans="1:32" ht="14.4" x14ac:dyDescent="0.3">
      <c r="A30" s="18" t="s">
        <v>84</v>
      </c>
      <c r="B30" s="31">
        <f>AVERAGE(B6:B27)</f>
        <v>18.845454545454547</v>
      </c>
      <c r="C30" s="31">
        <f>AVERAGE(C6:C27)</f>
        <v>56.390909090909098</v>
      </c>
      <c r="D30" s="31">
        <f>AVERAGE(D6:D27)</f>
        <v>37.800000000000004</v>
      </c>
      <c r="E30" s="31">
        <f>AVERAGE(E6:E27)</f>
        <v>68.854545454545459</v>
      </c>
      <c r="F30" s="31">
        <f>AVERAGE(F6:F27)</f>
        <v>37.800000000000004</v>
      </c>
      <c r="I30" s="1" t="s">
        <v>28</v>
      </c>
      <c r="J30" s="1">
        <v>20048</v>
      </c>
      <c r="K30" s="1" t="s">
        <v>5</v>
      </c>
      <c r="L30" s="23">
        <v>0</v>
      </c>
      <c r="M30" s="1" t="s">
        <v>6</v>
      </c>
      <c r="N30" s="23">
        <v>0.99998842592592596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26">
        <v>45142</v>
      </c>
    </row>
    <row r="31" spans="1:32" ht="14.4" x14ac:dyDescent="0.3">
      <c r="I31" s="1" t="s">
        <v>57</v>
      </c>
      <c r="J31" s="1">
        <v>20050</v>
      </c>
      <c r="K31" s="1" t="s">
        <v>5</v>
      </c>
      <c r="L31" s="23">
        <v>0</v>
      </c>
      <c r="M31" s="1" t="s">
        <v>6</v>
      </c>
      <c r="N31" s="23">
        <v>0.99998842592592596</v>
      </c>
      <c r="O31" s="1">
        <v>41.3</v>
      </c>
      <c r="P31" s="1">
        <v>61.4</v>
      </c>
      <c r="Q31" s="1">
        <v>75</v>
      </c>
      <c r="R31" s="1">
        <v>-1</v>
      </c>
      <c r="S31" s="1">
        <v>-1</v>
      </c>
      <c r="T31" s="1">
        <v>-1</v>
      </c>
      <c r="U31" s="1">
        <v>83.5</v>
      </c>
      <c r="V31" s="1">
        <v>124.4</v>
      </c>
      <c r="W31" s="1">
        <v>151.5</v>
      </c>
      <c r="X31" s="1">
        <v>41.3</v>
      </c>
      <c r="Y31" s="1">
        <v>61.4</v>
      </c>
      <c r="Z31" s="1">
        <v>75</v>
      </c>
      <c r="AA31" s="1">
        <v>124.4</v>
      </c>
      <c r="AB31" s="1">
        <v>151.5</v>
      </c>
      <c r="AC31" s="1">
        <v>61.4</v>
      </c>
      <c r="AD31" s="1">
        <v>75</v>
      </c>
      <c r="AE31" s="1">
        <v>75</v>
      </c>
      <c r="AF31" s="26">
        <v>45146</v>
      </c>
    </row>
    <row r="32" spans="1:32" ht="14.4" x14ac:dyDescent="0.3">
      <c r="I32" s="1" t="s">
        <v>29</v>
      </c>
      <c r="J32" s="1">
        <v>20052</v>
      </c>
      <c r="K32" s="1" t="s">
        <v>5</v>
      </c>
      <c r="L32" s="23">
        <v>0</v>
      </c>
      <c r="M32" s="1" t="s">
        <v>6</v>
      </c>
      <c r="N32" s="23">
        <v>0.99998842592592596</v>
      </c>
      <c r="O32" s="1">
        <v>42.3</v>
      </c>
      <c r="P32" s="1">
        <v>61.4</v>
      </c>
      <c r="Q32" s="1">
        <v>75</v>
      </c>
      <c r="R32" s="1">
        <v>-1</v>
      </c>
      <c r="S32" s="1">
        <v>-1</v>
      </c>
      <c r="T32" s="1">
        <v>-1</v>
      </c>
      <c r="U32" s="1">
        <v>85.4</v>
      </c>
      <c r="V32" s="1">
        <v>124.4</v>
      </c>
      <c r="W32" s="1">
        <v>151.5</v>
      </c>
      <c r="X32" s="1">
        <v>42.3</v>
      </c>
      <c r="Y32" s="1">
        <v>61.4</v>
      </c>
      <c r="Z32" s="1">
        <v>75</v>
      </c>
      <c r="AA32" s="1">
        <v>124.4</v>
      </c>
      <c r="AB32" s="1">
        <v>151.5</v>
      </c>
      <c r="AC32" s="1">
        <v>61.4</v>
      </c>
      <c r="AD32" s="1">
        <v>75</v>
      </c>
      <c r="AE32" s="1">
        <v>75</v>
      </c>
      <c r="AF32" s="26">
        <v>45108</v>
      </c>
    </row>
    <row r="33" spans="9:32" ht="14.4" x14ac:dyDescent="0.3">
      <c r="I33" s="1" t="s">
        <v>30</v>
      </c>
      <c r="J33" s="1">
        <v>20054</v>
      </c>
      <c r="K33" s="1" t="s">
        <v>5</v>
      </c>
      <c r="L33" s="23">
        <v>0</v>
      </c>
      <c r="M33" s="1" t="s">
        <v>6</v>
      </c>
      <c r="N33" s="23">
        <v>0.99998842592592596</v>
      </c>
      <c r="O33" s="1">
        <v>43.3</v>
      </c>
      <c r="P33" s="1">
        <v>63.6</v>
      </c>
      <c r="Q33" s="1">
        <v>77.2</v>
      </c>
      <c r="R33" s="1">
        <v>-1</v>
      </c>
      <c r="S33" s="1">
        <v>-1</v>
      </c>
      <c r="T33" s="1">
        <v>-1</v>
      </c>
      <c r="U33" s="1">
        <v>87.6</v>
      </c>
      <c r="V33" s="1">
        <v>128.6</v>
      </c>
      <c r="W33" s="1">
        <v>156.4</v>
      </c>
      <c r="X33" s="1">
        <v>43.3</v>
      </c>
      <c r="Y33" s="1">
        <v>63.6</v>
      </c>
      <c r="Z33" s="1">
        <v>77.2</v>
      </c>
      <c r="AA33" s="1">
        <v>128.6</v>
      </c>
      <c r="AB33" s="1">
        <v>156.4</v>
      </c>
      <c r="AC33" s="1">
        <v>63.6</v>
      </c>
      <c r="AD33" s="1">
        <v>77.2</v>
      </c>
      <c r="AE33" s="1">
        <v>77.2</v>
      </c>
      <c r="AF33" s="26">
        <v>45153</v>
      </c>
    </row>
    <row r="34" spans="9:32" ht="14.4" x14ac:dyDescent="0.3">
      <c r="I34" s="1" t="s">
        <v>58</v>
      </c>
      <c r="J34" s="1">
        <v>20058</v>
      </c>
      <c r="K34" s="1" t="s">
        <v>5</v>
      </c>
      <c r="L34" s="23">
        <v>0</v>
      </c>
      <c r="M34" s="1" t="s">
        <v>6</v>
      </c>
      <c r="N34" s="23">
        <v>0.99998842592592596</v>
      </c>
      <c r="O34" s="1">
        <v>-1</v>
      </c>
      <c r="P34" s="1">
        <v>-1</v>
      </c>
      <c r="Q34" s="1">
        <v>-1</v>
      </c>
      <c r="R34" s="1">
        <v>-1</v>
      </c>
      <c r="S34" s="1">
        <v>-1</v>
      </c>
      <c r="T34" s="1">
        <v>-1</v>
      </c>
      <c r="U34" s="1">
        <v>-1</v>
      </c>
      <c r="V34" s="1">
        <v>-1</v>
      </c>
      <c r="W34" s="1">
        <v>-1</v>
      </c>
      <c r="X34" s="1">
        <v>-1</v>
      </c>
      <c r="Y34" s="1">
        <v>-1</v>
      </c>
      <c r="Z34" s="1">
        <v>-1</v>
      </c>
      <c r="AA34" s="1">
        <v>-1</v>
      </c>
      <c r="AB34" s="1">
        <v>-1</v>
      </c>
      <c r="AC34" s="1">
        <v>-1</v>
      </c>
      <c r="AD34" s="1">
        <v>-1</v>
      </c>
      <c r="AE34" s="1">
        <v>-1</v>
      </c>
      <c r="AF34" s="26">
        <v>45150</v>
      </c>
    </row>
    <row r="35" spans="9:32" ht="14.4" x14ac:dyDescent="0.3">
      <c r="I35" s="1" t="s">
        <v>31</v>
      </c>
      <c r="J35" s="1">
        <v>20060</v>
      </c>
      <c r="K35" s="1" t="s">
        <v>5</v>
      </c>
      <c r="L35" s="23">
        <v>0</v>
      </c>
      <c r="M35" s="1" t="s">
        <v>6</v>
      </c>
      <c r="N35" s="23">
        <v>0.99998842592592596</v>
      </c>
      <c r="O35" s="1">
        <v>45</v>
      </c>
      <c r="P35" s="1">
        <v>65.900000000000006</v>
      </c>
      <c r="Q35" s="1">
        <v>79.400000000000006</v>
      </c>
      <c r="R35" s="1">
        <v>-1</v>
      </c>
      <c r="S35" s="1">
        <v>-1</v>
      </c>
      <c r="T35" s="1">
        <v>-1</v>
      </c>
      <c r="U35" s="1">
        <v>90.9</v>
      </c>
      <c r="V35" s="1">
        <v>133.4</v>
      </c>
      <c r="W35" s="1">
        <v>160.9</v>
      </c>
      <c r="X35" s="1">
        <v>45</v>
      </c>
      <c r="Y35" s="1">
        <v>65.900000000000006</v>
      </c>
      <c r="Z35" s="1">
        <v>79.400000000000006</v>
      </c>
      <c r="AA35" s="1">
        <v>133.4</v>
      </c>
      <c r="AB35" s="1">
        <v>160.9</v>
      </c>
      <c r="AC35" s="1">
        <v>65.900000000000006</v>
      </c>
      <c r="AD35" s="1">
        <v>79.400000000000006</v>
      </c>
      <c r="AE35" s="1">
        <v>79.400000000000006</v>
      </c>
      <c r="AF35" s="26">
        <v>45157</v>
      </c>
    </row>
    <row r="36" spans="9:32" ht="14.4" x14ac:dyDescent="0.3">
      <c r="I36" s="1" t="s">
        <v>32</v>
      </c>
      <c r="J36" s="1">
        <v>21000</v>
      </c>
      <c r="K36" s="1" t="s">
        <v>5</v>
      </c>
      <c r="L36" s="23">
        <v>0</v>
      </c>
      <c r="M36" s="1" t="s">
        <v>6</v>
      </c>
      <c r="N36" s="23">
        <v>0.99998842592592596</v>
      </c>
      <c r="O36" s="1">
        <v>-1</v>
      </c>
      <c r="P36" s="1">
        <v>-1</v>
      </c>
      <c r="Q36" s="1">
        <v>-1</v>
      </c>
      <c r="R36" s="1">
        <v>-1</v>
      </c>
      <c r="S36" s="1">
        <v>-1</v>
      </c>
      <c r="T36" s="1">
        <v>-1</v>
      </c>
      <c r="U36" s="1">
        <v>-1</v>
      </c>
      <c r="V36" s="1">
        <v>-1</v>
      </c>
      <c r="W36" s="1">
        <v>-1</v>
      </c>
      <c r="X36" s="1">
        <v>-1</v>
      </c>
      <c r="Y36" s="1">
        <v>-1</v>
      </c>
      <c r="Z36" s="1">
        <v>-1</v>
      </c>
      <c r="AA36" s="1">
        <v>-1</v>
      </c>
      <c r="AB36" s="1">
        <v>-1</v>
      </c>
      <c r="AC36" s="1">
        <v>-1</v>
      </c>
      <c r="AD36" s="1">
        <v>-1</v>
      </c>
      <c r="AE36" s="1">
        <v>-1</v>
      </c>
      <c r="AF36" s="26">
        <v>45143</v>
      </c>
    </row>
    <row r="37" spans="9:32" ht="14.4" x14ac:dyDescent="0.3">
      <c r="I37" s="1" t="s">
        <v>33</v>
      </c>
      <c r="J37" s="1">
        <v>21002</v>
      </c>
      <c r="K37" s="1" t="s">
        <v>5</v>
      </c>
      <c r="L37" s="23">
        <v>0</v>
      </c>
      <c r="M37" s="1" t="s">
        <v>6</v>
      </c>
      <c r="N37" s="23">
        <v>0.99998842592592596</v>
      </c>
      <c r="O37" s="1">
        <v>41.5</v>
      </c>
      <c r="P37" s="1">
        <v>61.4</v>
      </c>
      <c r="Q37" s="1">
        <v>75</v>
      </c>
      <c r="R37" s="1">
        <v>-1</v>
      </c>
      <c r="S37" s="1">
        <v>-1</v>
      </c>
      <c r="T37" s="1">
        <v>-1</v>
      </c>
      <c r="U37" s="1">
        <v>84.6</v>
      </c>
      <c r="V37" s="1">
        <v>124.4</v>
      </c>
      <c r="W37" s="1">
        <v>151.5</v>
      </c>
      <c r="X37" s="1">
        <v>41.5</v>
      </c>
      <c r="Y37" s="1">
        <v>61.4</v>
      </c>
      <c r="Z37" s="1">
        <v>75</v>
      </c>
      <c r="AA37" s="1">
        <v>124.4</v>
      </c>
      <c r="AB37" s="1">
        <v>151.5</v>
      </c>
      <c r="AC37" s="1">
        <v>61.4</v>
      </c>
      <c r="AD37" s="1">
        <v>75</v>
      </c>
      <c r="AE37" s="1">
        <v>75</v>
      </c>
      <c r="AF37" s="26">
        <v>45166</v>
      </c>
    </row>
    <row r="38" spans="9:32" ht="14.4" x14ac:dyDescent="0.3">
      <c r="I38" s="1" t="s">
        <v>34</v>
      </c>
      <c r="J38" s="1">
        <v>21004</v>
      </c>
      <c r="K38" s="1" t="s">
        <v>5</v>
      </c>
      <c r="L38" s="23">
        <v>0</v>
      </c>
      <c r="M38" s="1" t="s">
        <v>6</v>
      </c>
      <c r="N38" s="23">
        <v>0.99998842592592596</v>
      </c>
      <c r="O38" s="1">
        <v>43.3</v>
      </c>
      <c r="P38" s="1">
        <v>63.6</v>
      </c>
      <c r="Q38" s="1">
        <v>79.400000000000006</v>
      </c>
      <c r="R38" s="1">
        <v>-1</v>
      </c>
      <c r="S38" s="1">
        <v>-1</v>
      </c>
      <c r="T38" s="1">
        <v>-1</v>
      </c>
      <c r="U38" s="1">
        <v>87.6</v>
      </c>
      <c r="V38" s="1">
        <v>128.6</v>
      </c>
      <c r="W38" s="1">
        <v>160.9</v>
      </c>
      <c r="X38" s="1">
        <v>43.3</v>
      </c>
      <c r="Y38" s="1">
        <v>63.6</v>
      </c>
      <c r="Z38" s="1">
        <v>79.400000000000006</v>
      </c>
      <c r="AA38" s="1">
        <v>128.6</v>
      </c>
      <c r="AB38" s="1">
        <v>160.9</v>
      </c>
      <c r="AC38" s="1">
        <v>63.6</v>
      </c>
      <c r="AD38" s="1">
        <v>79.400000000000006</v>
      </c>
      <c r="AE38" s="1">
        <v>79.400000000000006</v>
      </c>
      <c r="AF38" s="26">
        <v>45162</v>
      </c>
    </row>
    <row r="39" spans="9:32" ht="14.4" x14ac:dyDescent="0.3">
      <c r="I39" s="1" t="s">
        <v>35</v>
      </c>
      <c r="J39" s="1">
        <v>21006</v>
      </c>
      <c r="K39" s="1" t="s">
        <v>5</v>
      </c>
      <c r="L39" s="23">
        <v>0</v>
      </c>
      <c r="M39" s="1" t="s">
        <v>6</v>
      </c>
      <c r="N39" s="23">
        <v>0.99998842592592596</v>
      </c>
      <c r="O39" s="1">
        <v>44.5</v>
      </c>
      <c r="P39" s="1">
        <v>65.900000000000006</v>
      </c>
      <c r="Q39" s="1">
        <v>81.8</v>
      </c>
      <c r="R39" s="1">
        <v>-1</v>
      </c>
      <c r="S39" s="1">
        <v>-1</v>
      </c>
      <c r="T39" s="1">
        <v>-1</v>
      </c>
      <c r="U39" s="1">
        <v>89.9</v>
      </c>
      <c r="V39" s="1">
        <v>133.4</v>
      </c>
      <c r="W39" s="1">
        <v>165.3</v>
      </c>
      <c r="X39" s="1">
        <v>44.5</v>
      </c>
      <c r="Y39" s="1">
        <v>65.900000000000006</v>
      </c>
      <c r="Z39" s="1">
        <v>81.8</v>
      </c>
      <c r="AA39" s="1">
        <v>133.4</v>
      </c>
      <c r="AB39" s="1">
        <v>165.3</v>
      </c>
      <c r="AC39" s="1">
        <v>65.900000000000006</v>
      </c>
      <c r="AD39" s="1">
        <v>81.8</v>
      </c>
      <c r="AE39" s="1">
        <v>81.8</v>
      </c>
      <c r="AF39" s="26">
        <v>45160</v>
      </c>
    </row>
    <row r="40" spans="9:32" ht="14.4" x14ac:dyDescent="0.3">
      <c r="I40" s="1" t="s">
        <v>36</v>
      </c>
      <c r="J40" s="1">
        <v>21008</v>
      </c>
      <c r="K40" s="1" t="s">
        <v>5</v>
      </c>
      <c r="L40" s="23">
        <v>0</v>
      </c>
      <c r="M40" s="1" t="s">
        <v>6</v>
      </c>
      <c r="N40" s="23">
        <v>0.99998842592592596</v>
      </c>
      <c r="O40" s="1">
        <v>47.3</v>
      </c>
      <c r="P40" s="1">
        <v>70.400000000000006</v>
      </c>
      <c r="Q40" s="1">
        <v>86.4</v>
      </c>
      <c r="R40" s="1">
        <v>-1</v>
      </c>
      <c r="S40" s="1">
        <v>-1</v>
      </c>
      <c r="T40" s="1">
        <v>-1</v>
      </c>
      <c r="U40" s="1">
        <v>95.6</v>
      </c>
      <c r="V40" s="1">
        <v>142.5</v>
      </c>
      <c r="W40" s="1">
        <v>174.2</v>
      </c>
      <c r="X40" s="1">
        <v>47.3</v>
      </c>
      <c r="Y40" s="1">
        <v>70.400000000000006</v>
      </c>
      <c r="Z40" s="1">
        <v>86.4</v>
      </c>
      <c r="AA40" s="1">
        <v>142.5</v>
      </c>
      <c r="AB40" s="1">
        <v>174.2</v>
      </c>
      <c r="AC40" s="1">
        <v>70.400000000000006</v>
      </c>
      <c r="AD40" s="1">
        <v>86.4</v>
      </c>
      <c r="AE40" s="1">
        <v>86.4</v>
      </c>
      <c r="AF40" s="26">
        <v>45179</v>
      </c>
    </row>
    <row r="41" spans="9:32" ht="14.4" x14ac:dyDescent="0.3">
      <c r="I41" s="1" t="s">
        <v>42</v>
      </c>
      <c r="J41" s="1">
        <v>21010</v>
      </c>
      <c r="K41" s="1" t="s">
        <v>5</v>
      </c>
      <c r="L41" s="23">
        <v>0</v>
      </c>
      <c r="M41" s="1" t="s">
        <v>6</v>
      </c>
      <c r="N41" s="23">
        <v>0.99998842592592596</v>
      </c>
      <c r="O41" s="1">
        <v>48.3</v>
      </c>
      <c r="P41" s="1">
        <v>72</v>
      </c>
      <c r="Q41" s="1">
        <v>89</v>
      </c>
      <c r="R41" s="1">
        <v>-1</v>
      </c>
      <c r="S41" s="1">
        <v>-1</v>
      </c>
      <c r="T41" s="1">
        <v>-1</v>
      </c>
      <c r="U41" s="1">
        <v>97.9</v>
      </c>
      <c r="V41" s="1">
        <v>145.5</v>
      </c>
      <c r="W41" s="1">
        <v>179.8</v>
      </c>
      <c r="X41" s="1">
        <v>48.3</v>
      </c>
      <c r="Y41" s="1">
        <v>72</v>
      </c>
      <c r="Z41" s="1">
        <v>89</v>
      </c>
      <c r="AA41" s="1">
        <v>145.5</v>
      </c>
      <c r="AB41" s="1">
        <v>179.8</v>
      </c>
      <c r="AC41" s="1">
        <v>72</v>
      </c>
      <c r="AD41" s="1">
        <v>89</v>
      </c>
      <c r="AE41" s="1">
        <v>89</v>
      </c>
      <c r="AF41" s="26">
        <v>45157</v>
      </c>
    </row>
    <row r="42" spans="9:32" ht="14.4" x14ac:dyDescent="0.3">
      <c r="I42" s="1" t="s">
        <v>37</v>
      </c>
      <c r="J42" s="1">
        <v>21012</v>
      </c>
      <c r="K42" s="1" t="s">
        <v>5</v>
      </c>
      <c r="L42" s="23">
        <v>0</v>
      </c>
      <c r="M42" s="1" t="s">
        <v>6</v>
      </c>
      <c r="N42" s="23">
        <v>0.99998842592592596</v>
      </c>
      <c r="O42" s="1">
        <v>49.1</v>
      </c>
      <c r="P42" s="1">
        <v>72.8</v>
      </c>
      <c r="Q42" s="1">
        <v>90.9</v>
      </c>
      <c r="R42" s="1">
        <v>-1</v>
      </c>
      <c r="S42" s="1">
        <v>-1</v>
      </c>
      <c r="T42" s="1">
        <v>-1</v>
      </c>
      <c r="U42" s="1">
        <v>99.5</v>
      </c>
      <c r="V42" s="1">
        <v>146.80000000000001</v>
      </c>
      <c r="W42" s="1">
        <v>183.5</v>
      </c>
      <c r="X42" s="1">
        <v>49.1</v>
      </c>
      <c r="Y42" s="1">
        <v>72.8</v>
      </c>
      <c r="Z42" s="1">
        <v>90.9</v>
      </c>
      <c r="AA42" s="1">
        <v>146.80000000000001</v>
      </c>
      <c r="AB42" s="1">
        <v>183.5</v>
      </c>
      <c r="AC42" s="1">
        <v>72.8</v>
      </c>
      <c r="AD42" s="1">
        <v>90.9</v>
      </c>
      <c r="AE42" s="1">
        <v>90.9</v>
      </c>
      <c r="AF42" s="26">
        <v>45143</v>
      </c>
    </row>
    <row r="43" spans="9:32" ht="14.4" x14ac:dyDescent="0.3">
      <c r="I43" s="1" t="s">
        <v>38</v>
      </c>
      <c r="J43" s="1">
        <v>21014</v>
      </c>
      <c r="K43" s="1" t="s">
        <v>5</v>
      </c>
      <c r="L43" s="23">
        <v>0</v>
      </c>
      <c r="M43" s="1" t="s">
        <v>6</v>
      </c>
      <c r="N43" s="23">
        <v>0.99998842592592596</v>
      </c>
      <c r="O43" s="1">
        <v>50.6</v>
      </c>
      <c r="P43" s="1">
        <v>75</v>
      </c>
      <c r="Q43" s="1">
        <v>93.1</v>
      </c>
      <c r="R43" s="1">
        <v>-1</v>
      </c>
      <c r="S43" s="1">
        <v>-1</v>
      </c>
      <c r="T43" s="1">
        <v>-1</v>
      </c>
      <c r="U43" s="1">
        <v>102.6</v>
      </c>
      <c r="V43" s="1">
        <v>151.5</v>
      </c>
      <c r="W43" s="1">
        <v>188.1</v>
      </c>
      <c r="X43" s="1">
        <v>50.6</v>
      </c>
      <c r="Y43" s="1">
        <v>75</v>
      </c>
      <c r="Z43" s="1">
        <v>93.1</v>
      </c>
      <c r="AA43" s="1">
        <v>151.5</v>
      </c>
      <c r="AB43" s="1">
        <v>188.1</v>
      </c>
      <c r="AC43" s="1">
        <v>75</v>
      </c>
      <c r="AD43" s="1">
        <v>93.1</v>
      </c>
      <c r="AE43" s="1">
        <v>93.1</v>
      </c>
      <c r="AF43" s="26">
        <v>45166</v>
      </c>
    </row>
    <row r="44" spans="9:32" ht="14.4" x14ac:dyDescent="0.3">
      <c r="I44" s="1" t="s">
        <v>39</v>
      </c>
      <c r="J44" s="1">
        <v>21016</v>
      </c>
      <c r="K44" s="1" t="s">
        <v>5</v>
      </c>
      <c r="L44" s="23">
        <v>0</v>
      </c>
      <c r="M44" s="1" t="s">
        <v>6</v>
      </c>
      <c r="N44" s="23">
        <v>0.99998842592592596</v>
      </c>
      <c r="O44" s="1">
        <v>51.8</v>
      </c>
      <c r="P44" s="1">
        <v>77.2</v>
      </c>
      <c r="Q44" s="1">
        <v>93.1</v>
      </c>
      <c r="R44" s="1">
        <v>-1</v>
      </c>
      <c r="S44" s="1">
        <v>-1</v>
      </c>
      <c r="T44" s="1">
        <v>-1</v>
      </c>
      <c r="U44" s="1">
        <v>104.5</v>
      </c>
      <c r="V44" s="1">
        <v>156.4</v>
      </c>
      <c r="W44" s="1">
        <v>188.1</v>
      </c>
      <c r="X44" s="1">
        <v>51.8</v>
      </c>
      <c r="Y44" s="1">
        <v>77.2</v>
      </c>
      <c r="Z44" s="1">
        <v>93.1</v>
      </c>
      <c r="AA44" s="1">
        <v>156.4</v>
      </c>
      <c r="AB44" s="1">
        <v>188.1</v>
      </c>
      <c r="AC44" s="1">
        <v>77.2</v>
      </c>
      <c r="AD44" s="1">
        <v>93.1</v>
      </c>
      <c r="AE44" s="1">
        <v>93.1</v>
      </c>
      <c r="AF44" s="26">
        <v>45162</v>
      </c>
    </row>
  </sheetData>
  <conditionalFormatting sqref="I5:I44">
    <cfRule type="duplicateValues" dxfId="3" priority="2"/>
  </conditionalFormatting>
  <conditionalFormatting sqref="J5:J44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="65" zoomScaleNormal="100" workbookViewId="0">
      <selection activeCell="K29" sqref="K29"/>
    </sheetView>
  </sheetViews>
  <sheetFormatPr defaultColWidth="11" defaultRowHeight="14.4" x14ac:dyDescent="0.3"/>
  <cols>
    <col min="1" max="1" width="39.77734375" style="1" bestFit="1" customWidth="1"/>
    <col min="2" max="2" width="14.6640625" style="1" customWidth="1"/>
    <col min="3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 t="s">
        <v>182</v>
      </c>
    </row>
    <row r="6" spans="1:10" ht="18" x14ac:dyDescent="0.35">
      <c r="A6" s="43" t="s">
        <v>154</v>
      </c>
      <c r="B6" s="40" t="s">
        <v>181</v>
      </c>
    </row>
    <row r="7" spans="1:10" ht="18" x14ac:dyDescent="0.35">
      <c r="A7" s="43"/>
      <c r="B7" s="40"/>
    </row>
    <row r="9" spans="1:10" ht="23.4" x14ac:dyDescent="0.45">
      <c r="A9" s="17" t="s">
        <v>166</v>
      </c>
      <c r="I9" s="2"/>
      <c r="J9" s="2"/>
    </row>
    <row r="10" spans="1:10" x14ac:dyDescent="0.3">
      <c r="A10" s="33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163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122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123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124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125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126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127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128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129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130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131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132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133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134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135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136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137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138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139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140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141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142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143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144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145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146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147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148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149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150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151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113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114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115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116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117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118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119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120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121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 t="s">
        <v>180</v>
      </c>
    </row>
    <row r="7" spans="1:3" ht="15" x14ac:dyDescent="0.35">
      <c r="A7" s="3" t="s">
        <v>154</v>
      </c>
      <c r="B7" s="46" t="s">
        <v>179</v>
      </c>
    </row>
    <row r="10" spans="1:3" ht="23.4" x14ac:dyDescent="0.45">
      <c r="A10" s="17" t="s">
        <v>163</v>
      </c>
    </row>
    <row r="11" spans="1:3" ht="14.4" x14ac:dyDescent="0.3">
      <c r="A11" s="32" t="s">
        <v>86</v>
      </c>
      <c r="B11" s="16" t="s">
        <v>87</v>
      </c>
      <c r="C11" s="16" t="s">
        <v>88</v>
      </c>
    </row>
    <row r="12" spans="1:3" ht="14.4" x14ac:dyDescent="0.3">
      <c r="A12" s="32">
        <v>44927</v>
      </c>
      <c r="B12" s="16" t="s">
        <v>59</v>
      </c>
      <c r="C12" s="16">
        <v>200</v>
      </c>
    </row>
    <row r="13" spans="1:3" ht="14.4" x14ac:dyDescent="0.3">
      <c r="A13" s="32">
        <v>44928</v>
      </c>
      <c r="B13" s="16" t="s">
        <v>60</v>
      </c>
      <c r="C13" s="16" t="e">
        <v>#N/A</v>
      </c>
    </row>
    <row r="14" spans="1:3" ht="14.4" x14ac:dyDescent="0.3">
      <c r="A14" s="32">
        <v>44929</v>
      </c>
      <c r="B14" s="16" t="s">
        <v>61</v>
      </c>
      <c r="C14" s="16">
        <v>50</v>
      </c>
    </row>
    <row r="15" spans="1:3" ht="14.4" x14ac:dyDescent="0.3">
      <c r="A15" s="32">
        <v>44930</v>
      </c>
      <c r="B15" s="16" t="s">
        <v>62</v>
      </c>
      <c r="C15" s="16" t="e">
        <v>#N/A</v>
      </c>
    </row>
    <row r="16" spans="1:3" ht="14.4" x14ac:dyDescent="0.3">
      <c r="A16" s="32">
        <v>44931</v>
      </c>
      <c r="B16" s="16" t="s">
        <v>63</v>
      </c>
      <c r="C16" s="16">
        <v>10</v>
      </c>
    </row>
    <row r="17" spans="1:3" ht="14.4" x14ac:dyDescent="0.3">
      <c r="A17" s="32">
        <v>44932</v>
      </c>
      <c r="B17" s="16" t="s">
        <v>155</v>
      </c>
      <c r="C17" s="16">
        <v>150</v>
      </c>
    </row>
    <row r="18" spans="1:3" ht="14.4" x14ac:dyDescent="0.3">
      <c r="A18" s="32">
        <v>44933</v>
      </c>
      <c r="B18" s="16" t="s">
        <v>156</v>
      </c>
      <c r="C18" s="16">
        <v>80</v>
      </c>
    </row>
    <row r="19" spans="1:3" ht="14.4" x14ac:dyDescent="0.3">
      <c r="A19" s="32">
        <v>44934</v>
      </c>
      <c r="B19" s="16" t="s">
        <v>157</v>
      </c>
      <c r="C19" s="16" t="e">
        <v>#N/A</v>
      </c>
    </row>
    <row r="20" spans="1:3" ht="14.4" x14ac:dyDescent="0.3">
      <c r="A20" s="32">
        <v>44935</v>
      </c>
      <c r="B20" s="16" t="s">
        <v>158</v>
      </c>
      <c r="C20" s="16">
        <v>30</v>
      </c>
    </row>
    <row r="21" spans="1:3" ht="14.4" x14ac:dyDescent="0.3">
      <c r="A21" s="32">
        <v>44936</v>
      </c>
      <c r="B21" s="16" t="s">
        <v>159</v>
      </c>
      <c r="C21" s="16" t="e">
        <v>#N/A</v>
      </c>
    </row>
    <row r="22" spans="1:3" ht="14.4" x14ac:dyDescent="0.3">
      <c r="B22" s="16" t="s">
        <v>160</v>
      </c>
      <c r="C22" s="24">
        <f>SUM(IFERROR(C12:C21,20))</f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4" zoomScale="92" zoomScaleNormal="100" workbookViewId="0">
      <selection activeCell="C24" sqref="C2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7" t="s">
        <v>163</v>
      </c>
      <c r="M8" s="17" t="s">
        <v>164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65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65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169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4" t="e">
        <f>VLOOKUP(A22, A9:J18, MATCH(B22, M9:N18, 0), FALSE)</f>
        <v>#N/A</v>
      </c>
    </row>
    <row r="24" spans="1:14" ht="14.4" x14ac:dyDescent="0.3">
      <c r="A24" s="7">
        <v>10100</v>
      </c>
      <c r="B24" s="11">
        <v>10104</v>
      </c>
      <c r="C24" s="44" t="e">
        <f t="shared" ref="C24:C35" si="0">VLOOKUP(A23,A10:J19,MATCH(B23,M10:N10,0),FALSE)</f>
        <v>#N/A</v>
      </c>
    </row>
    <row r="25" spans="1:14" ht="14.4" x14ac:dyDescent="0.3">
      <c r="A25" s="7">
        <v>10108</v>
      </c>
      <c r="B25" s="11">
        <v>10102</v>
      </c>
      <c r="C25" s="44" t="e">
        <f t="shared" si="0"/>
        <v>#N/A</v>
      </c>
    </row>
    <row r="26" spans="1:14" ht="14.4" x14ac:dyDescent="0.3">
      <c r="A26" s="7">
        <v>10100</v>
      </c>
      <c r="B26" s="11">
        <v>10106</v>
      </c>
      <c r="C26" s="44" t="e">
        <f t="shared" si="0"/>
        <v>#N/A</v>
      </c>
    </row>
    <row r="27" spans="1:14" ht="14.4" x14ac:dyDescent="0.3">
      <c r="A27" s="7">
        <v>10108</v>
      </c>
      <c r="B27" s="11">
        <v>10110</v>
      </c>
      <c r="C27" s="44" t="e">
        <f t="shared" si="0"/>
        <v>#N/A</v>
      </c>
    </row>
    <row r="28" spans="1:14" ht="14.4" x14ac:dyDescent="0.3">
      <c r="A28" s="7">
        <v>10102</v>
      </c>
      <c r="B28" s="11">
        <v>10104</v>
      </c>
      <c r="C28" s="44" t="e">
        <f t="shared" si="0"/>
        <v>#N/A</v>
      </c>
    </row>
    <row r="29" spans="1:14" ht="14.4" x14ac:dyDescent="0.3">
      <c r="A29" s="7">
        <v>10106</v>
      </c>
      <c r="B29" s="11">
        <v>10108</v>
      </c>
      <c r="C29" s="44" t="e">
        <f t="shared" si="0"/>
        <v>#N/A</v>
      </c>
    </row>
    <row r="30" spans="1:14" ht="14.4" x14ac:dyDescent="0.3">
      <c r="A30" s="7">
        <v>10102</v>
      </c>
      <c r="B30" s="11">
        <v>10106</v>
      </c>
      <c r="C30" s="44" t="e">
        <f t="shared" si="0"/>
        <v>#N/A</v>
      </c>
    </row>
    <row r="31" spans="1:14" ht="14.4" x14ac:dyDescent="0.3">
      <c r="A31" s="7">
        <v>10110</v>
      </c>
      <c r="B31" s="11">
        <v>10114</v>
      </c>
      <c r="C31" s="44" t="e">
        <f t="shared" si="0"/>
        <v>#N/A</v>
      </c>
    </row>
    <row r="32" spans="1:14" ht="14.4" x14ac:dyDescent="0.3">
      <c r="A32" s="7">
        <v>10104</v>
      </c>
      <c r="B32" s="11">
        <v>10106</v>
      </c>
      <c r="C32" s="44" t="e">
        <f t="shared" si="0"/>
        <v>#N/A</v>
      </c>
    </row>
    <row r="33" spans="1:3" ht="14.4" x14ac:dyDescent="0.3">
      <c r="A33" s="7">
        <v>10110</v>
      </c>
      <c r="B33" s="11">
        <v>10112</v>
      </c>
      <c r="C33" s="44" t="e">
        <f t="shared" si="0"/>
        <v>#N/A</v>
      </c>
    </row>
    <row r="34" spans="1:3" ht="14.4" x14ac:dyDescent="0.3">
      <c r="A34" s="7">
        <v>10100</v>
      </c>
      <c r="B34" s="11">
        <v>10114</v>
      </c>
      <c r="C34" s="44" t="e">
        <f t="shared" si="0"/>
        <v>#N/A</v>
      </c>
    </row>
    <row r="35" spans="1:3" ht="14.4" x14ac:dyDescent="0.3">
      <c r="A35" s="8">
        <v>10112</v>
      </c>
      <c r="B35" s="12">
        <v>10116</v>
      </c>
      <c r="C35" s="44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2023-12-10T21:40:02Z</dcterms:modified>
</cp:coreProperties>
</file>